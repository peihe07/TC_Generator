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1100" yWindow="600" windowWidth="36880" windowHeight="21000" tabRatio="768"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amp;Result" sheetId="6" state="visible" r:id="rId6"/>
    <sheet xmlns:r="http://schemas.openxmlformats.org/officeDocument/2006/relationships" name="Test Case Framework" sheetId="7" state="visible" r:id="rId7"/>
    <sheet xmlns:r="http://schemas.openxmlformats.org/officeDocument/2006/relationships" name="Reference" sheetId="8" state="hidden" r:id="rId8"/>
    <sheet xmlns:r="http://schemas.openxmlformats.org/officeDocument/2006/relationships" name="QS Suggestion" sheetId="9" state="hidden" r:id="rId9"/>
    <sheet xmlns:r="http://schemas.openxmlformats.org/officeDocument/2006/relationships" name="下拉選單" sheetId="10" state="hidden" r:id="rId10"/>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9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Times New Roman"/>
      <family val="1"/>
      <color theme="1"/>
      <sz val="14"/>
    </font>
    <font>
      <name val="新細明體"/>
      <charset val="136"/>
      <family val="1"/>
      <color theme="1"/>
      <sz val="14"/>
    </font>
    <font>
      <name val="細明體"/>
      <charset val="136"/>
      <family val="1"/>
      <color theme="1"/>
      <sz val="11"/>
    </font>
    <font>
      <name val="新細明體"/>
      <charset val="136"/>
      <family val="1"/>
      <b val="1"/>
      <color theme="1"/>
      <sz val="10"/>
    </font>
    <font>
      <name val="Times New Roman"/>
      <family val="1"/>
      <color theme="3" tint="0.5999938962981048"/>
      <sz val="10"/>
    </font>
    <font>
      <name val="Times New Roman"/>
      <family val="1"/>
      <color rgb="FF0432FF"/>
      <sz val="10"/>
    </font>
    <font>
      <name val="新細明體"/>
      <charset val="136"/>
      <family val="1"/>
      <sz val="16"/>
    </font>
    <font>
      <name val="Calibri"/>
      <family val="2"/>
      <sz val="12"/>
    </font>
    <font>
      <name val="細明體"/>
      <charset val="136"/>
      <family val="1"/>
      <color theme="1"/>
      <sz val="12"/>
    </font>
    <font>
      <name val="微軟正黑體"/>
      <charset val="136"/>
      <family val="1"/>
      <color theme="1"/>
      <sz val="12"/>
    </font>
    <font>
      <name val="Tahoma"/>
      <family val="2"/>
      <b val="1"/>
      <color rgb="FF000000"/>
      <sz val="9"/>
    </font>
    <font>
      <name val="Tahoma"/>
      <family val="2"/>
      <color rgb="FF000000"/>
      <sz val="9"/>
    </font>
    <font>
      <name val="Times New Roman"/>
      <family val="1"/>
      <color rgb="FF1F2937"/>
      <sz val="10"/>
    </font>
    <font>
      <name val="Times New Roman"/>
      <family val="1"/>
      <color rgb="FF000000"/>
      <sz val="10"/>
    </font>
    <font>
      <name val="PMingLiU"/>
      <charset val="136"/>
      <family val="1"/>
      <b val="1"/>
      <sz val="20"/>
    </font>
    <font>
      <name val="Times New Roman"/>
      <family val="1"/>
      <color rgb="FF00B050"/>
      <sz val="10"/>
    </font>
    <font>
      <name val="Times New Roman"/>
      <family val="1"/>
      <b val="1"/>
      <color rgb="FF00B050"/>
      <sz val="10"/>
    </font>
    <font>
      <name val="細明體"/>
      <charset val="136"/>
      <family val="1"/>
      <b val="1"/>
      <color rgb="FF000000"/>
      <sz val="9"/>
    </font>
    <font>
      <name val="Times New Roman"/>
      <charset val="136"/>
      <family val="1"/>
      <color rgb="FF00B050"/>
      <sz val="10"/>
    </font>
    <font>
      <name val="細明體"/>
      <charset val="136"/>
      <family val="1"/>
      <color rgb="FF00B050"/>
      <sz val="10"/>
    </font>
    <font>
      <name val="Times New Roman"/>
      <family val="1"/>
      <color theme="10"/>
      <sz val="10"/>
      <u val="single"/>
    </font>
    <font>
      <name val="Times New Roman"/>
      <family val="1"/>
      <b val="1"/>
      <color rgb="FF0432FF"/>
      <sz val="10"/>
    </font>
    <font>
      <name val="Times New Roman"/>
      <charset val="136"/>
      <family val="1"/>
      <color rgb="FF0432FF"/>
      <sz val="10"/>
    </font>
    <font>
      <name val="Times New Roman"/>
      <family val="1"/>
      <color rgb="FF0432FF"/>
      <sz val="10"/>
      <u val="single"/>
    </font>
    <font>
      <name val="Times New Roman"/>
      <family val="1"/>
      <color rgb="FFFF0000"/>
      <sz val="10"/>
    </font>
    <font>
      <name val="Microsoft JhengHei"/>
      <family val="1"/>
      <color rgb="FFFF0000"/>
      <sz val="10"/>
    </font>
    <font>
      <name val="細明體"/>
      <charset val="136"/>
      <family val="1"/>
      <color rgb="FFFF0000"/>
      <sz val="10"/>
    </font>
    <font>
      <name val="Microsoft JhengHei"/>
      <family val="1"/>
      <color theme="1"/>
      <sz val="11"/>
    </font>
    <font>
      <name val="Microsoft JhengHei"/>
      <charset val="136"/>
      <family val="1"/>
      <color theme="1"/>
      <sz val="11"/>
    </font>
    <font>
      <name val="細明體"/>
      <charset val="136"/>
      <family val="1"/>
      <color rgb="FF0432FF"/>
      <sz val="10"/>
    </font>
    <font>
      <name val="Microsoft JhengHei"/>
      <family val="1"/>
      <sz val="12"/>
    </font>
    <font>
      <name val="Times New Roman"/>
      <charset val="136"/>
      <family val="1"/>
      <color theme="1"/>
      <sz val="12"/>
    </font>
    <font>
      <name val="Microsoft JhengHei"/>
      <charset val="136"/>
      <family val="2"/>
      <b val="1"/>
      <color rgb="FFFF0000"/>
      <sz val="10"/>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
      <patternFill patternType="solid">
        <fgColor rgb="FFFFFF00"/>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theme="0" tint="-0.3499862666707358"/>
      </left>
      <right style="thin">
        <color theme="0" tint="-0.3499862666707358"/>
      </right>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thin">
        <color rgb="FF000000"/>
      </top>
      <bottom/>
      <diagonal/>
    </border>
    <border>
      <left/>
      <right style="thin">
        <color rgb="FF000000"/>
      </right>
      <top style="thin">
        <color rgb="FF000000"/>
      </top>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84">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7" fillId="0" borderId="0" applyAlignment="1" pivotButton="0" quotePrefix="0" xfId="13">
      <alignment vertical="center"/>
    </xf>
    <xf numFmtId="0" fontId="48" fillId="6" borderId="34" applyAlignment="1" pivotButton="0" quotePrefix="0" xfId="14">
      <alignment horizontal="center" vertical="center"/>
    </xf>
    <xf numFmtId="0" fontId="48" fillId="6" borderId="35" applyAlignment="1" pivotButton="0" quotePrefix="0" xfId="14">
      <alignment horizontal="center" vertical="center"/>
    </xf>
    <xf numFmtId="165" fontId="48" fillId="6" borderId="35" applyAlignment="1" pivotButton="0" quotePrefix="0" xfId="14">
      <alignment horizontal="center" vertical="center"/>
    </xf>
    <xf numFmtId="0" fontId="48" fillId="6" borderId="36" applyAlignment="1" pivotButton="0" quotePrefix="0" xfId="14">
      <alignment horizontal="center" vertical="center"/>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7" fillId="2" borderId="16" applyAlignment="1" pivotButton="0" quotePrefix="0" xfId="14">
      <alignment horizontal="center"/>
    </xf>
    <xf numFmtId="0" fontId="40" fillId="0" borderId="0" applyAlignment="1" pivotButton="0" quotePrefix="0" xfId="12">
      <alignment vertical="center"/>
    </xf>
    <xf numFmtId="0" fontId="47" fillId="2" borderId="16" applyAlignment="1" pivotButton="0" quotePrefix="0" xfId="14">
      <alignment horizontal="center" vertical="center"/>
    </xf>
    <xf numFmtId="0" fontId="47" fillId="2" borderId="18" applyAlignment="1" pivotButton="0" quotePrefix="0" xfId="14">
      <alignment horizontal="center" vertical="center"/>
    </xf>
    <xf numFmtId="0" fontId="53" fillId="0" borderId="0" applyAlignment="1" pivotButton="0" quotePrefix="0" xfId="0">
      <alignment vertical="center"/>
    </xf>
    <xf numFmtId="0" fontId="54" fillId="0" borderId="0" applyAlignment="1" pivotButton="0" quotePrefix="0" xfId="0">
      <alignment horizontal="left" vertical="center"/>
    </xf>
    <xf numFmtId="0" fontId="55" fillId="0" borderId="0" applyAlignment="1" pivotButton="0" quotePrefix="0" xfId="0">
      <alignment horizontal="right" vertical="center" wrapText="1"/>
    </xf>
    <xf numFmtId="0" fontId="55" fillId="0" borderId="0" applyAlignment="1" pivotButton="0" quotePrefix="0" xfId="0">
      <alignment horizontal="left" vertical="center" wrapText="1"/>
    </xf>
    <xf numFmtId="0" fontId="55" fillId="0" borderId="0" applyAlignment="1" pivotButton="0" quotePrefix="0" xfId="0">
      <alignment vertical="center" wrapText="1"/>
    </xf>
    <xf numFmtId="0" fontId="55" fillId="0" borderId="0" applyAlignment="1" pivotButton="0" quotePrefix="0" xfId="0">
      <alignment horizontal="center" vertical="center" wrapText="1"/>
    </xf>
    <xf numFmtId="49" fontId="56" fillId="0" borderId="0" applyAlignment="1" pivotButton="0" quotePrefix="0" xfId="0">
      <alignment horizontal="left" vertical="center" wrapText="1"/>
    </xf>
    <xf numFmtId="0" fontId="56" fillId="0" borderId="0" applyAlignment="1" pivotButton="0" quotePrefix="0" xfId="0">
      <alignment vertical="center" wrapText="1"/>
    </xf>
    <xf numFmtId="0" fontId="57" fillId="0" borderId="0" applyAlignment="1" pivotButton="0" quotePrefix="0" xfId="0">
      <alignment horizontal="right" vertical="center" wrapText="1"/>
    </xf>
    <xf numFmtId="0" fontId="57" fillId="0" borderId="0" applyAlignment="1" pivotButton="0" quotePrefix="0" xfId="0">
      <alignment horizontal="left" vertical="center" wrapText="1"/>
    </xf>
    <xf numFmtId="0" fontId="54" fillId="0" borderId="0" applyAlignment="1" pivotButton="0" quotePrefix="0" xfId="0">
      <alignment horizontal="center" vertical="center"/>
    </xf>
    <xf numFmtId="0" fontId="61" fillId="3" borderId="39" applyAlignment="1" pivotButton="0" quotePrefix="0" xfId="0">
      <alignment horizontal="center" vertical="center" wrapText="1"/>
    </xf>
    <xf numFmtId="0" fontId="55" fillId="3" borderId="39" applyAlignment="1" pivotButton="0" quotePrefix="0" xfId="0">
      <alignment horizontal="center" vertical="center" wrapText="1"/>
    </xf>
    <xf numFmtId="0" fontId="62" fillId="3" borderId="39" applyAlignment="1" pivotButton="0" quotePrefix="0" xfId="0">
      <alignment horizontal="center" vertical="center" wrapText="1"/>
    </xf>
    <xf numFmtId="0" fontId="55" fillId="3" borderId="44" applyAlignment="1" pivotButton="0" quotePrefix="0" xfId="0">
      <alignment horizontal="center" vertical="center" wrapText="1"/>
    </xf>
    <xf numFmtId="0" fontId="55" fillId="0" borderId="0" applyAlignment="1" pivotButton="0" quotePrefix="0" xfId="0">
      <alignment horizontal="center" vertical="center"/>
    </xf>
    <xf numFmtId="0" fontId="55" fillId="2" borderId="45" applyAlignment="1" pivotButton="0" quotePrefix="0" xfId="0">
      <alignment horizontal="center" vertical="center" wrapText="1"/>
    </xf>
    <xf numFmtId="0" fontId="54" fillId="0" borderId="45" applyAlignment="1" pivotButton="0" quotePrefix="0" xfId="0">
      <alignment horizontal="center" vertical="center"/>
    </xf>
    <xf numFmtId="0" fontId="47"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5" fillId="0" borderId="0" applyAlignment="1" pivotButton="0" quotePrefix="0" xfId="12">
      <alignment horizontal="center" vertical="center" wrapText="1"/>
    </xf>
    <xf numFmtId="0" fontId="47" fillId="0" borderId="2" applyAlignment="1" pivotButton="0" quotePrefix="0" xfId="18">
      <alignment horizontal="center" vertical="center" wrapText="1"/>
    </xf>
    <xf numFmtId="0" fontId="47" fillId="0" borderId="0" applyAlignment="1" pivotButton="0" quotePrefix="0" xfId="18">
      <alignment horizontal="center" vertical="center"/>
    </xf>
    <xf numFmtId="0" fontId="47" fillId="0" borderId="47" applyAlignment="1" pivotButton="0" quotePrefix="0" xfId="18">
      <alignment horizontal="center" vertical="center" wrapText="1"/>
    </xf>
    <xf numFmtId="0" fontId="47" fillId="0" borderId="48" applyAlignment="1" pivotButton="0" quotePrefix="0" xfId="18">
      <alignment horizontal="center" vertical="center" wrapText="1"/>
    </xf>
    <xf numFmtId="0" fontId="47" fillId="0" borderId="48" applyAlignment="1" pivotButton="0" quotePrefix="0" xfId="18">
      <alignment vertical="center"/>
    </xf>
    <xf numFmtId="0" fontId="47" fillId="0" borderId="48" applyAlignment="1" pivotButton="0" quotePrefix="0" xfId="18">
      <alignment horizontal="center" vertical="center"/>
    </xf>
    <xf numFmtId="0" fontId="47"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1" fillId="3" borderId="44" applyAlignment="1" pivotButton="0" quotePrefix="0" xfId="0">
      <alignment horizontal="center" vertical="center" wrapText="1"/>
    </xf>
    <xf numFmtId="0" fontId="41" fillId="0" borderId="17" applyAlignment="1" pivotButton="0" quotePrefix="0" xfId="14">
      <alignment horizontal="center" vertical="center" wrapText="1"/>
    </xf>
    <xf numFmtId="0" fontId="70" fillId="3" borderId="44" applyAlignment="1" pivotButton="0" quotePrefix="0" xfId="0">
      <alignment horizontal="center" vertical="center" wrapText="1"/>
    </xf>
    <xf numFmtId="0" fontId="47" fillId="0" borderId="51" applyAlignment="1" pivotButton="0" quotePrefix="0" xfId="18">
      <alignment horizontal="center" vertical="center" wrapText="1"/>
    </xf>
    <xf numFmtId="0" fontId="54" fillId="0" borderId="0" applyAlignment="1" pivotButton="0" quotePrefix="0" xfId="0">
      <alignment horizontal="left" vertical="center" wrapText="1"/>
    </xf>
    <xf numFmtId="0" fontId="54" fillId="0" borderId="0" applyAlignment="1" pivotButton="0" quotePrefix="0" xfId="0">
      <alignment horizontal="right" vertical="center"/>
    </xf>
    <xf numFmtId="0" fontId="54" fillId="0" borderId="0" applyAlignment="1" pivotButton="0" quotePrefix="0" xfId="0">
      <alignment vertical="center"/>
    </xf>
    <xf numFmtId="0" fontId="54" fillId="0" borderId="45" applyAlignment="1" pivotButton="0" quotePrefix="0" xfId="0">
      <alignment vertical="center"/>
    </xf>
    <xf numFmtId="0" fontId="54" fillId="0" borderId="45" applyAlignment="1" pivotButton="0" quotePrefix="0" xfId="0">
      <alignment vertical="center" wrapText="1"/>
    </xf>
    <xf numFmtId="0" fontId="54" fillId="0" borderId="0" applyAlignment="1" pivotButton="0" quotePrefix="0" xfId="0">
      <alignment vertical="center" wrapText="1"/>
    </xf>
    <xf numFmtId="0" fontId="57" fillId="0" borderId="0" applyAlignment="1" pivotButton="0" quotePrefix="0" xfId="0">
      <alignment horizontal="center" vertical="center" wrapText="1"/>
    </xf>
    <xf numFmtId="14" fontId="69" fillId="2" borderId="0" applyAlignment="1" pivotButton="0" quotePrefix="0" xfId="0">
      <alignment horizontal="left" vertical="center" wrapText="1"/>
    </xf>
    <xf numFmtId="14" fontId="47" fillId="0" borderId="48" applyAlignment="1" pivotButton="0" quotePrefix="0" xfId="18">
      <alignment horizontal="center" vertical="center" wrapText="1"/>
    </xf>
    <xf numFmtId="49" fontId="55" fillId="0" borderId="45" applyAlignment="1" pivotButton="0" quotePrefix="0" xfId="0">
      <alignment vertical="center" wrapText="1"/>
    </xf>
    <xf numFmtId="0" fontId="55" fillId="0" borderId="45" applyAlignment="1" pivotButton="0" quotePrefix="0" xfId="0">
      <alignment horizontal="center" vertical="center" wrapText="1"/>
    </xf>
    <xf numFmtId="0" fontId="55" fillId="0" borderId="45" applyAlignment="1" pivotButton="0" quotePrefix="0" xfId="0">
      <alignment vertical="center"/>
    </xf>
    <xf numFmtId="49" fontId="55" fillId="0" borderId="45" applyAlignment="1" pivotButton="0" quotePrefix="0" xfId="0">
      <alignment horizontal="center" vertical="center"/>
    </xf>
    <xf numFmtId="0" fontId="80" fillId="0" borderId="45" applyAlignment="1" pivotButton="0" quotePrefix="0" xfId="0">
      <alignment horizontal="center" vertical="center" wrapText="1"/>
    </xf>
    <xf numFmtId="0" fontId="55" fillId="0" borderId="45" applyAlignment="1" pivotButton="0" quotePrefix="0" xfId="0">
      <alignment vertical="center" wrapText="1"/>
    </xf>
    <xf numFmtId="0" fontId="55" fillId="0" borderId="45" applyAlignment="1" pivotButton="0" quotePrefix="0" xfId="0">
      <alignment horizontal="center" vertical="center"/>
    </xf>
    <xf numFmtId="0" fontId="55" fillId="0" borderId="0" applyAlignment="1" pivotButton="0" quotePrefix="0" xfId="0">
      <alignment vertical="center"/>
    </xf>
    <xf numFmtId="0" fontId="55" fillId="0" borderId="45" applyAlignment="1" pivotButton="0" quotePrefix="0" xfId="0">
      <alignment horizontal="left" vertical="center" wrapText="1"/>
    </xf>
    <xf numFmtId="0" fontId="80" fillId="0" borderId="45" applyAlignment="1" pivotButton="0" quotePrefix="0" xfId="0">
      <alignment vertical="center" wrapText="1"/>
    </xf>
    <xf numFmtId="0" fontId="77" fillId="0" borderId="0" applyAlignment="1" pivotButton="0" quotePrefix="0" xfId="0">
      <alignment horizontal="center" vertical="center" wrapText="1"/>
    </xf>
    <xf numFmtId="0" fontId="78" fillId="0" borderId="53" applyAlignment="1" pivotButton="0" quotePrefix="0" xfId="0">
      <alignment horizontal="center" vertical="center" wrapText="1"/>
    </xf>
    <xf numFmtId="0" fontId="55" fillId="0" borderId="52" applyAlignment="1" pivotButton="0" quotePrefix="0" xfId="0">
      <alignment horizontal="center" vertical="center" wrapText="1"/>
    </xf>
    <xf numFmtId="0" fontId="54" fillId="0" borderId="52" applyAlignment="1" pivotButton="0" quotePrefix="0" xfId="0">
      <alignment vertical="center"/>
    </xf>
    <xf numFmtId="0" fontId="54" fillId="0" borderId="52" applyAlignment="1" pivotButton="0" quotePrefix="0" xfId="0">
      <alignment horizontal="center" vertical="center"/>
    </xf>
    <xf numFmtId="0" fontId="54" fillId="0" borderId="52" applyAlignment="1" pivotButton="0" quotePrefix="0" xfId="0">
      <alignment vertical="center" wrapText="1"/>
    </xf>
    <xf numFmtId="49" fontId="85" fillId="0" borderId="45" applyAlignment="1" pivotButton="0" quotePrefix="0" xfId="17">
      <alignment horizontal="center" vertical="center"/>
    </xf>
    <xf numFmtId="0" fontId="85" fillId="0" borderId="45" applyAlignment="1" pivotButton="0" quotePrefix="0" xfId="17">
      <alignment horizontal="center" vertical="center"/>
    </xf>
    <xf numFmtId="0" fontId="80" fillId="0" borderId="45" applyAlignment="1" pivotButton="0" quotePrefix="0" xfId="0">
      <alignment horizontal="left" vertical="top" wrapText="1"/>
    </xf>
    <xf numFmtId="49" fontId="80" fillId="0" borderId="45" applyAlignment="1" pivotButton="0" quotePrefix="0" xfId="0">
      <alignment horizontal="left" vertical="top" wrapText="1"/>
    </xf>
    <xf numFmtId="49" fontId="55" fillId="0" borderId="45" applyAlignment="1" pivotButton="0" quotePrefix="0" xfId="0">
      <alignment horizontal="left" vertical="top" wrapText="1"/>
    </xf>
    <xf numFmtId="0" fontId="80" fillId="0" borderId="45" applyAlignment="1" pivotButton="0" quotePrefix="0" xfId="0">
      <alignment vertical="top" wrapText="1"/>
    </xf>
    <xf numFmtId="49" fontId="80" fillId="0" borderId="45" applyAlignment="1" pivotButton="0" quotePrefix="0" xfId="0">
      <alignment vertical="top" wrapText="1"/>
    </xf>
    <xf numFmtId="49" fontId="55" fillId="0" borderId="45" applyAlignment="1" pivotButton="0" quotePrefix="0" xfId="0">
      <alignment vertical="top" wrapText="1"/>
    </xf>
    <xf numFmtId="0" fontId="54" fillId="0" borderId="52" applyAlignment="1" pivotButton="0" quotePrefix="0" xfId="0">
      <alignment vertical="top"/>
    </xf>
    <xf numFmtId="0" fontId="54" fillId="0" borderId="45" applyAlignment="1" pivotButton="0" quotePrefix="0" xfId="0">
      <alignment vertical="top"/>
    </xf>
    <xf numFmtId="0" fontId="54" fillId="0" borderId="0" applyAlignment="1" pivotButton="0" quotePrefix="0" xfId="0">
      <alignment vertical="top"/>
    </xf>
    <xf numFmtId="49" fontId="83" fillId="0" borderId="45" applyAlignment="1" pivotButton="0" quotePrefix="0" xfId="0">
      <alignment vertical="top" wrapText="1"/>
    </xf>
    <xf numFmtId="0" fontId="54" fillId="0" borderId="52" applyAlignment="1" pivotButton="0" quotePrefix="0" xfId="0">
      <alignment horizontal="left" vertical="top"/>
    </xf>
    <xf numFmtId="0" fontId="54" fillId="0" borderId="45" applyAlignment="1" pivotButton="0" quotePrefix="0" xfId="0">
      <alignment horizontal="left" vertical="top"/>
    </xf>
    <xf numFmtId="0" fontId="54" fillId="0" borderId="0" applyAlignment="1" pivotButton="0" quotePrefix="0" xfId="0">
      <alignment horizontal="left" vertical="top"/>
    </xf>
    <xf numFmtId="0" fontId="55" fillId="0" borderId="45" applyAlignment="1" pivotButton="0" quotePrefix="0" xfId="0">
      <alignment horizontal="left" vertical="top" wrapText="1"/>
    </xf>
    <xf numFmtId="0" fontId="55" fillId="0" borderId="45" applyAlignment="1" pivotButton="0" quotePrefix="0" xfId="0">
      <alignment vertical="top" wrapText="1"/>
    </xf>
    <xf numFmtId="0" fontId="55" fillId="0" borderId="45" applyAlignment="1" pivotButton="0" quotePrefix="0" xfId="0">
      <alignment vertical="top"/>
    </xf>
    <xf numFmtId="0" fontId="80" fillId="0" borderId="45" applyAlignment="1" pivotButton="0" quotePrefix="0" xfId="0">
      <alignment vertical="top"/>
    </xf>
    <xf numFmtId="0" fontId="55" fillId="0" borderId="0" applyAlignment="1" pivotButton="0" quotePrefix="0" xfId="0">
      <alignment horizontal="left" vertical="top" wrapText="1"/>
    </xf>
    <xf numFmtId="0" fontId="56" fillId="0" borderId="0" applyAlignment="1" pivotButton="0" quotePrefix="0" xfId="0">
      <alignment horizontal="left" vertical="top" wrapText="1"/>
    </xf>
    <xf numFmtId="0" fontId="70" fillId="0" borderId="45" applyAlignment="1" pivotButton="0" quotePrefix="0" xfId="0">
      <alignment horizontal="center" vertical="center" wrapText="1"/>
    </xf>
    <xf numFmtId="0" fontId="70" fillId="0" borderId="45" applyAlignment="1" pivotButton="0" quotePrefix="0" xfId="0">
      <alignment vertical="top" wrapText="1"/>
    </xf>
    <xf numFmtId="0" fontId="70" fillId="0" borderId="45" applyAlignment="1" pivotButton="0" quotePrefix="0" xfId="0">
      <alignment horizontal="center" vertical="center"/>
    </xf>
    <xf numFmtId="49" fontId="70" fillId="0" borderId="45" applyAlignment="1" pivotButton="0" quotePrefix="0" xfId="0">
      <alignment horizontal="center" vertical="center"/>
    </xf>
    <xf numFmtId="49" fontId="70" fillId="0" borderId="45" applyAlignment="1" pivotButton="0" quotePrefix="0" xfId="0">
      <alignment vertical="top" wrapText="1"/>
    </xf>
    <xf numFmtId="49" fontId="70" fillId="0" borderId="45" applyAlignment="1" pivotButton="0" quotePrefix="0" xfId="0">
      <alignment horizontal="left" vertical="top" wrapText="1"/>
    </xf>
    <xf numFmtId="49" fontId="70" fillId="0" borderId="45" applyAlignment="1" pivotButton="0" quotePrefix="0" xfId="0">
      <alignment vertical="center" wrapText="1"/>
    </xf>
    <xf numFmtId="0" fontId="70" fillId="0" borderId="45" applyAlignment="1" pivotButton="0" quotePrefix="0" xfId="0">
      <alignment vertical="center"/>
    </xf>
    <xf numFmtId="0" fontId="70" fillId="0" borderId="45" applyAlignment="1" pivotButton="0" quotePrefix="0" xfId="0">
      <alignment horizontal="left" vertical="top" wrapText="1"/>
    </xf>
    <xf numFmtId="49" fontId="87" fillId="0" borderId="45" applyAlignment="1" pivotButton="0" quotePrefix="0" xfId="0">
      <alignment vertical="top" wrapText="1"/>
    </xf>
    <xf numFmtId="0" fontId="70" fillId="0" borderId="45" applyAlignment="1" pivotButton="0" quotePrefix="0" xfId="0">
      <alignment vertical="center" wrapText="1"/>
    </xf>
    <xf numFmtId="0" fontId="70" fillId="0" borderId="45" applyAlignment="1" pivotButton="0" quotePrefix="0" xfId="0">
      <alignment vertical="top"/>
    </xf>
    <xf numFmtId="49" fontId="55" fillId="8" borderId="45" applyAlignment="1" pivotButton="0" quotePrefix="0" xfId="0">
      <alignment horizontal="center" vertical="center"/>
    </xf>
    <xf numFmtId="0" fontId="70" fillId="0" borderId="0" applyAlignment="1" pivotButton="0" quotePrefix="0" xfId="0">
      <alignment vertical="center"/>
    </xf>
    <xf numFmtId="0" fontId="88" fillId="0" borderId="45" applyAlignment="1" pivotButton="0" quotePrefix="0" xfId="17">
      <alignment horizontal="center" vertical="center"/>
    </xf>
    <xf numFmtId="0" fontId="40" fillId="0" borderId="17" applyAlignment="1" pivotButton="0" quotePrefix="0" xfId="14">
      <alignment horizontal="center" vertical="center" wrapText="1"/>
    </xf>
    <xf numFmtId="0" fontId="54" fillId="0" borderId="0" pivotButton="0" quotePrefix="0" xfId="0"/>
    <xf numFmtId="0" fontId="96" fillId="0" borderId="51" applyAlignment="1" pivotButton="0" quotePrefix="0" xfId="18">
      <alignment horizontal="center" vertical="center" wrapText="1"/>
    </xf>
    <xf numFmtId="49" fontId="55" fillId="2" borderId="45" applyAlignment="1" pivotButton="0" quotePrefix="0" xfId="0">
      <alignment horizontal="center" vertical="center"/>
    </xf>
    <xf numFmtId="0" fontId="55" fillId="2" borderId="0" applyAlignment="1" pivotButton="0" quotePrefix="0" xfId="0">
      <alignment horizontal="center" vertical="center" wrapText="1"/>
    </xf>
    <xf numFmtId="0" fontId="55" fillId="3" borderId="38" applyAlignment="1" pivotButton="0" quotePrefix="0" xfId="0">
      <alignment horizontal="center" vertical="center"/>
    </xf>
    <xf numFmtId="0" fontId="59" fillId="7" borderId="38" applyAlignment="1" pivotButton="0" quotePrefix="0" xfId="0">
      <alignment horizontal="center" vertical="center" wrapText="1"/>
    </xf>
    <xf numFmtId="0" fontId="59" fillId="7" borderId="38" applyAlignment="1" pivotButton="0" quotePrefix="0" xfId="0">
      <alignment horizontal="center" vertical="center"/>
    </xf>
    <xf numFmtId="0" fontId="59" fillId="7" borderId="39" applyAlignment="1" pivotButton="0" quotePrefix="0" xfId="0">
      <alignment horizontal="center" vertical="center"/>
    </xf>
    <xf numFmtId="0" fontId="53" fillId="0" borderId="0" applyAlignment="1" pivotButton="0" quotePrefix="0" xfId="0">
      <alignment horizontal="center" vertical="center" wrapText="1"/>
    </xf>
    <xf numFmtId="0" fontId="53" fillId="0" borderId="0" applyAlignment="1" pivotButton="0" quotePrefix="0" xfId="0">
      <alignment horizontal="center" vertical="center"/>
    </xf>
    <xf numFmtId="0" fontId="53" fillId="0" borderId="0" applyAlignment="1" pivotButton="0" quotePrefix="0" xfId="0">
      <alignment horizontal="left" vertical="top"/>
    </xf>
    <xf numFmtId="0" fontId="59" fillId="7" borderId="40" applyAlignment="1" pivotButton="0" quotePrefix="0" xfId="0">
      <alignment horizontal="center" vertical="center" wrapText="1"/>
    </xf>
    <xf numFmtId="0" fontId="59" fillId="7" borderId="41" applyAlignment="1" pivotButton="0" quotePrefix="0" xfId="0">
      <alignment horizontal="center" vertical="center" wrapText="1"/>
    </xf>
    <xf numFmtId="0" fontId="59" fillId="7" borderId="43" applyAlignment="1" pivotButton="0" quotePrefix="0" xfId="0">
      <alignment horizontal="center" vertical="center" wrapText="1"/>
    </xf>
    <xf numFmtId="0" fontId="59" fillId="7" borderId="42" applyAlignment="1" pivotButton="0" quotePrefix="0" xfId="0">
      <alignment horizontal="center" vertical="center"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2"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0" fillId="0" borderId="26" applyAlignment="1" pivotButton="0" quotePrefix="0" xfId="15">
      <alignment horizontal="center" vertical="center" wrapText="1"/>
    </xf>
    <xf numFmtId="0" fontId="50" fillId="0" borderId="27" applyAlignment="1" pivotButton="0" quotePrefix="0" xfId="15">
      <alignment horizontal="center" vertical="center" wrapText="1"/>
    </xf>
    <xf numFmtId="0" fontId="50" fillId="0" borderId="28" applyAlignment="1" pivotButton="0" quotePrefix="0" xfId="15">
      <alignment horizontal="center" vertical="center" wrapText="1"/>
    </xf>
    <xf numFmtId="0" fontId="50" fillId="0" borderId="29" applyAlignment="1" pivotButton="0" quotePrefix="0" xfId="15">
      <alignment horizontal="center" vertical="center" wrapText="1"/>
    </xf>
    <xf numFmtId="0" fontId="50" fillId="0" borderId="0" applyAlignment="1" pivotButton="0" quotePrefix="0" xfId="15">
      <alignment horizontal="center" vertical="center" wrapText="1"/>
    </xf>
    <xf numFmtId="0" fontId="50" fillId="0" borderId="30" applyAlignment="1" pivotButton="0" quotePrefix="0" xfId="15">
      <alignment horizontal="center" vertical="center" wrapText="1"/>
    </xf>
    <xf numFmtId="0" fontId="50" fillId="0" borderId="31" applyAlignment="1" pivotButton="0" quotePrefix="0" xfId="15">
      <alignment horizontal="center" vertical="center" wrapText="1"/>
    </xf>
    <xf numFmtId="0" fontId="50" fillId="0" borderId="32" applyAlignment="1" pivotButton="0" quotePrefix="0" xfId="15">
      <alignment horizontal="center" vertical="center" wrapText="1"/>
    </xf>
    <xf numFmtId="0" fontId="50" fillId="0" borderId="33" applyAlignment="1" pivotButton="0" quotePrefix="0" xfId="15">
      <alignment horizontal="center" vertical="center" wrapText="1"/>
    </xf>
    <xf numFmtId="0" fontId="64" fillId="0" borderId="5" applyAlignment="1" pivotButton="0" quotePrefix="0" xfId="12">
      <alignment horizontal="center" vertical="center" wrapText="1"/>
    </xf>
    <xf numFmtId="0" fontId="49" fillId="0" borderId="6" applyAlignment="1" pivotButton="0" quotePrefix="0" xfId="12">
      <alignment horizontal="center" vertical="center"/>
    </xf>
    <xf numFmtId="0" fontId="49" fillId="0" borderId="7" applyAlignment="1" pivotButton="0" quotePrefix="0" xfId="12">
      <alignment horizontal="center" vertical="center"/>
    </xf>
    <xf numFmtId="0" fontId="49" fillId="0" borderId="8" applyAlignment="1" pivotButton="0" quotePrefix="0" xfId="12">
      <alignment horizontal="center" vertical="center"/>
    </xf>
    <xf numFmtId="0" fontId="49" fillId="0" borderId="0" applyAlignment="1" pivotButton="0" quotePrefix="0" xfId="12">
      <alignment horizontal="center" vertical="center"/>
    </xf>
    <xf numFmtId="0" fontId="49" fillId="0" borderId="9" applyAlignment="1" pivotButton="0" quotePrefix="0" xfId="12">
      <alignment horizontal="center" vertical="center"/>
    </xf>
    <xf numFmtId="49" fontId="47" fillId="0" borderId="2" applyAlignment="1" pivotButton="0" quotePrefix="0" xfId="12">
      <alignment horizontal="center"/>
    </xf>
    <xf numFmtId="49" fontId="47" fillId="0" borderId="3" applyAlignment="1" pivotButton="0" quotePrefix="0" xfId="12">
      <alignment horizontal="center"/>
    </xf>
    <xf numFmtId="49" fontId="47"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2"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6" fillId="0" borderId="5" applyAlignment="1" pivotButton="0" quotePrefix="0" xfId="14">
      <alignment horizontal="center" vertical="center"/>
    </xf>
    <xf numFmtId="0" fontId="46" fillId="0" borderId="6" applyAlignment="1" pivotButton="0" quotePrefix="0" xfId="14">
      <alignment horizontal="center" vertical="center"/>
    </xf>
    <xf numFmtId="0" fontId="46" fillId="0" borderId="7" applyAlignment="1" pivotButton="0" quotePrefix="0" xfId="14">
      <alignment horizontal="center" vertical="center"/>
    </xf>
    <xf numFmtId="0" fontId="46" fillId="0" borderId="8" applyAlignment="1" pivotButton="0" quotePrefix="0" xfId="14">
      <alignment horizontal="center" vertical="center"/>
    </xf>
    <xf numFmtId="0" fontId="46" fillId="0" borderId="0" applyAlignment="1" pivotButton="0" quotePrefix="0" xfId="14">
      <alignment horizontal="center" vertical="center"/>
    </xf>
    <xf numFmtId="0" fontId="46" fillId="0" borderId="9" applyAlignment="1" pivotButton="0" quotePrefix="0" xfId="14">
      <alignment horizontal="center" vertical="center"/>
    </xf>
    <xf numFmtId="0" fontId="46" fillId="0" borderId="10" applyAlignment="1" pivotButton="0" quotePrefix="0" xfId="14">
      <alignment horizontal="center" vertical="center"/>
    </xf>
    <xf numFmtId="0" fontId="46" fillId="0" borderId="11" applyAlignment="1" pivotButton="0" quotePrefix="0" xfId="14">
      <alignment horizontal="center" vertical="center"/>
    </xf>
    <xf numFmtId="0" fontId="46" fillId="0" borderId="12" applyAlignment="1" pivotButton="0" quotePrefix="0" xfId="14">
      <alignment horizontal="center" vertical="center"/>
    </xf>
    <xf numFmtId="0" fontId="47" fillId="0" borderId="1" applyAlignment="1" pivotButton="0" quotePrefix="0" xfId="18">
      <alignment horizontal="center" vertical="center"/>
    </xf>
    <xf numFmtId="14" fontId="47" fillId="0" borderId="1" applyAlignment="1" pivotButton="0" quotePrefix="0" xfId="18">
      <alignment horizontal="center" vertical="center"/>
    </xf>
    <xf numFmtId="0" fontId="65" fillId="0" borderId="0" applyAlignment="1" pivotButton="0" quotePrefix="0" xfId="12">
      <alignment horizontal="center" vertical="center" wrapText="1"/>
    </xf>
    <xf numFmtId="0" fontId="47" fillId="0" borderId="49" applyAlignment="1" pivotButton="0" quotePrefix="0" xfId="0">
      <alignment horizontal="center" vertical="center"/>
    </xf>
    <xf numFmtId="0" fontId="72" fillId="0" borderId="50" pivotButton="0" quotePrefix="0" xfId="0"/>
    <xf numFmtId="0" fontId="72" fillId="0" borderId="47" pivotButton="0" quotePrefix="0" xfId="0"/>
    <xf numFmtId="0" fontId="47" fillId="0" borderId="1" applyAlignment="1" pivotButton="0" quotePrefix="0" xfId="18">
      <alignment horizontal="center" vertical="center" wrapText="1"/>
    </xf>
    <xf numFmtId="0" fontId="47" fillId="0" borderId="2" applyAlignment="1" pivotButton="0" quotePrefix="0" xfId="18">
      <alignment horizontal="center" vertical="center"/>
    </xf>
    <xf numFmtId="0" fontId="47" fillId="0" borderId="3" applyAlignment="1" pivotButton="0" quotePrefix="0" xfId="18">
      <alignment horizontal="center" vertical="center"/>
    </xf>
    <xf numFmtId="0" fontId="47" fillId="0" borderId="4" applyAlignment="1" pivotButton="0" quotePrefix="0" xfId="18">
      <alignment horizontal="center" vertical="center"/>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7" pivotButton="0" quotePrefix="0" xfId="0"/>
    <xf numFmtId="0" fontId="0" fillId="0" borderId="4" pivotButton="0" quotePrefix="0" xfId="0"/>
    <xf numFmtId="0" fontId="0" fillId="0" borderId="58" pivotButton="0" quotePrefix="0" xfId="0"/>
    <xf numFmtId="0" fontId="64" fillId="0" borderId="68" applyAlignment="1" pivotButton="0" quotePrefix="0" xfId="12">
      <alignment horizontal="center" vertical="center" wrapText="1"/>
    </xf>
    <xf numFmtId="0" fontId="0" fillId="0" borderId="8" pivotButton="0" quotePrefix="0" xfId="0"/>
    <xf numFmtId="49" fontId="47"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2"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2" fillId="2" borderId="59" applyAlignment="1" pivotButton="0" quotePrefix="0" xfId="12">
      <alignment horizontal="center" vertical="center" wrapText="1"/>
    </xf>
    <xf numFmtId="0" fontId="0" fillId="0" borderId="62" pivotButton="0" quotePrefix="0" xfId="0"/>
    <xf numFmtId="0" fontId="0" fillId="0" borderId="63" pivotButton="0" quotePrefix="0" xfId="0"/>
    <xf numFmtId="165" fontId="22" fillId="2" borderId="64" applyAlignment="1" pivotButton="0" quotePrefix="0" xfId="12">
      <alignment horizontal="center" vertical="center"/>
    </xf>
    <xf numFmtId="0" fontId="0" fillId="0" borderId="66" pivotButton="0" quotePrefix="0" xfId="0"/>
    <xf numFmtId="0" fontId="50" fillId="0" borderId="67"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6" fillId="0" borderId="70"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8"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47" fillId="0" borderId="48" applyAlignment="1" pivotButton="0" quotePrefix="0" xfId="0">
      <alignment horizontal="center" vertical="center"/>
    </xf>
    <xf numFmtId="0" fontId="0" fillId="0" borderId="50" pivotButton="0" quotePrefix="0" xfId="0"/>
    <xf numFmtId="0" fontId="0" fillId="0" borderId="47" pivotButton="0" quotePrefix="0" xfId="0"/>
    <xf numFmtId="0" fontId="0" fillId="0" borderId="41" pivotButton="0" quotePrefix="0" xfId="0"/>
    <xf numFmtId="0" fontId="0" fillId="0" borderId="42" pivotButton="0" quotePrefix="0" xfId="0"/>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hyperlink" Target="http://10.56.56.222/polarion/redirect/project/NR1L/workitem?id=NRL-132737" TargetMode="External" Id="rId1"/><Relationship Type="http://schemas.openxmlformats.org/officeDocument/2006/relationships/hyperlink" Target="http://10.56.56.222/polarion/redirect/project/NR1L/workitem?id=NRL-132737" TargetMode="External" Id="rId2"/><Relationship Type="http://schemas.openxmlformats.org/officeDocument/2006/relationships/hyperlink" Target="http://10.56.56.222/polarion/redirect/project/NR1L/workitem?id=NRL-132738" TargetMode="External" Id="rId3"/><Relationship Type="http://schemas.openxmlformats.org/officeDocument/2006/relationships/hyperlink" Target="http://10.56.56.222/polarion/redirect/project/NR1L/workitem?id=NRL-132738" TargetMode="External" Id="rId4"/><Relationship Type="http://schemas.openxmlformats.org/officeDocument/2006/relationships/hyperlink" Target="http://10.56.56.222/polarion/redirect/project/NR1L/workitem?id=NRL-132739" TargetMode="External" Id="rId5"/><Relationship Type="http://schemas.openxmlformats.org/officeDocument/2006/relationships/hyperlink" Target="http://10.56.56.222/polarion/redirect/project/NR1L/workitem?id=NRL-132739" TargetMode="External" Id="rId6"/><Relationship Type="http://schemas.openxmlformats.org/officeDocument/2006/relationships/hyperlink" Target="http://10.56.56.222/polarion/redirect/project/NR1L/workitem?id=NRL-132739" TargetMode="External" Id="rId7"/><Relationship Type="http://schemas.openxmlformats.org/officeDocument/2006/relationships/hyperlink" Target="http://10.56.56.222/polarion/redirect/project/NR1L/workitem?id=NRL-132740" TargetMode="External" Id="rId8"/><Relationship Type="http://schemas.openxmlformats.org/officeDocument/2006/relationships/hyperlink" Target="http://10.56.56.222/polarion/redirect/project/NR1L/workitem?id=NRL-132740" TargetMode="External" Id="rId9"/><Relationship Type="http://schemas.openxmlformats.org/officeDocument/2006/relationships/drawing" Target="/xl/drawings/drawing6.xml" Id="rId1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240" t="inlineStr">
        <is>
          <t>Document: Test Case Specification &amp; Result Templat_SWQT</t>
        </is>
      </c>
      <c r="D1" s="241" t="n"/>
      <c r="E1" s="241" t="n"/>
      <c r="F1" s="241" t="n"/>
      <c r="G1" s="241" t="n"/>
      <c r="H1" s="241" t="n"/>
      <c r="I1" s="241" t="n"/>
      <c r="J1" s="242" t="n"/>
    </row>
    <row r="2">
      <c r="A2" s="4" t="n"/>
      <c r="J2" s="243"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244"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240" t="inlineStr">
        <is>
          <t>Document: Test Case Specification &amp; Result Templat_SWQT</t>
        </is>
      </c>
      <c r="D1" s="241" t="n"/>
      <c r="E1" s="241" t="n"/>
      <c r="F1" s="241" t="n"/>
      <c r="G1" s="241" t="n"/>
      <c r="H1" s="241" t="n"/>
      <c r="I1" s="241" t="n"/>
      <c r="J1" s="242" t="n"/>
    </row>
    <row r="2">
      <c r="A2" s="4" t="n"/>
      <c r="J2" s="243" t="n"/>
    </row>
    <row r="3" ht="16" customHeight="1">
      <c r="A3" s="187" t="inlineStr">
        <is>
          <t>Verison No.</t>
        </is>
      </c>
      <c r="C3" s="188" t="inlineStr">
        <is>
          <t>Developed By</t>
        </is>
      </c>
      <c r="E3" s="188" t="inlineStr">
        <is>
          <t>Date</t>
        </is>
      </c>
      <c r="G3" s="188" t="inlineStr">
        <is>
          <t>Approved By</t>
        </is>
      </c>
      <c r="I3" s="189" t="inlineStr">
        <is>
          <t>Description of Change</t>
        </is>
      </c>
      <c r="J3" s="243" t="n"/>
    </row>
    <row r="4">
      <c r="A4" s="245" t="n">
        <v>1</v>
      </c>
      <c r="B4" s="246" t="n"/>
      <c r="C4" s="184" t="inlineStr">
        <is>
          <t>Andy Ko</t>
        </is>
      </c>
      <c r="D4" s="246" t="n"/>
      <c r="E4" s="185" t="n">
        <v>44265</v>
      </c>
      <c r="F4" s="246" t="n"/>
      <c r="G4" s="184" t="inlineStr">
        <is>
          <t>Steve Tsai</t>
        </is>
      </c>
      <c r="H4" s="246" t="n"/>
      <c r="I4" s="184" t="inlineStr">
        <is>
          <t>Modify Logo 、Name and Date</t>
        </is>
      </c>
      <c r="J4" s="246" t="n"/>
    </row>
    <row r="5">
      <c r="A5" s="176" t="n"/>
      <c r="B5" s="247" t="n"/>
      <c r="C5" s="177" t="n"/>
      <c r="D5" s="247" t="n"/>
      <c r="E5" s="177" t="n"/>
      <c r="F5" s="247" t="n"/>
      <c r="G5" s="177" t="n"/>
      <c r="H5" s="247" t="n"/>
      <c r="I5" s="177" t="n"/>
      <c r="J5" s="247" t="n"/>
    </row>
    <row r="6">
      <c r="A6" s="176" t="n"/>
      <c r="B6" s="247" t="n"/>
      <c r="C6" s="177" t="n"/>
      <c r="D6" s="247" t="n"/>
      <c r="E6" s="177" t="n"/>
      <c r="F6" s="247" t="n"/>
      <c r="G6" s="177" t="n"/>
      <c r="H6" s="247" t="n"/>
      <c r="I6" s="177" t="n"/>
      <c r="J6" s="247" t="n"/>
    </row>
    <row r="7">
      <c r="A7" s="176" t="n"/>
      <c r="B7" s="247" t="n"/>
      <c r="C7" s="177" t="n"/>
      <c r="D7" s="247" t="n"/>
      <c r="E7" s="177" t="n"/>
      <c r="F7" s="247" t="n"/>
      <c r="G7" s="177" t="n"/>
      <c r="H7" s="247" t="n"/>
      <c r="I7" s="177" t="n"/>
      <c r="J7" s="247" t="n"/>
    </row>
    <row r="8">
      <c r="A8" s="176" t="n"/>
      <c r="B8" s="247" t="n"/>
      <c r="C8" s="177" t="n"/>
      <c r="D8" s="247" t="n"/>
      <c r="E8" s="177" t="n"/>
      <c r="F8" s="247" t="n"/>
      <c r="G8" s="177" t="n"/>
      <c r="H8" s="247" t="n"/>
      <c r="I8" s="177" t="n"/>
      <c r="J8" s="247" t="n"/>
    </row>
    <row r="9">
      <c r="A9" s="176" t="n"/>
      <c r="B9" s="247" t="n"/>
      <c r="C9" s="177" t="n"/>
      <c r="D9" s="247" t="n"/>
      <c r="E9" s="177" t="n"/>
      <c r="F9" s="247" t="n"/>
      <c r="G9" s="177" t="n"/>
      <c r="H9" s="247" t="n"/>
      <c r="I9" s="177" t="n"/>
      <c r="J9" s="247" t="n"/>
    </row>
    <row r="10">
      <c r="A10" s="176" t="n"/>
      <c r="B10" s="247" t="n"/>
      <c r="C10" s="177" t="n"/>
      <c r="D10" s="247" t="n"/>
      <c r="E10" s="177" t="n"/>
      <c r="F10" s="247" t="n"/>
      <c r="G10" s="177" t="n"/>
      <c r="H10" s="247" t="n"/>
      <c r="I10" s="177" t="n"/>
      <c r="J10" s="247" t="n"/>
    </row>
    <row r="11" ht="15" customHeight="1" thickBot="1">
      <c r="A11" s="179" t="n"/>
      <c r="B11" s="248" t="n"/>
      <c r="C11" s="180" t="n"/>
      <c r="D11" s="248" t="n"/>
      <c r="E11" s="180" t="n"/>
      <c r="F11" s="248" t="n"/>
      <c r="G11" s="180" t="n"/>
      <c r="H11" s="248" t="n"/>
      <c r="I11" s="180" t="n"/>
      <c r="J11" s="248"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Normal="100" workbookViewId="0">
      <selection activeCell="G9" sqref="G9:H9"/>
    </sheetView>
  </sheetViews>
  <sheetFormatPr baseColWidth="10" defaultColWidth="8.83203125" defaultRowHeight="16"/>
  <cols>
    <col width="8.83203125" customWidth="1" style="53" min="1" max="2"/>
    <col width="22.33203125" customWidth="1" style="53" min="3" max="3"/>
    <col width="7.83203125" customWidth="1" style="53" min="4" max="4"/>
    <col width="7.1640625" customWidth="1" style="53" min="5" max="5"/>
    <col width="8" customWidth="1" style="53" min="6" max="6"/>
    <col width="9.83203125" customWidth="1" style="53" min="7" max="7"/>
    <col width="13.1640625" customWidth="1" style="53" min="8" max="8"/>
    <col width="8.83203125" customWidth="1" style="41" min="9" max="16384"/>
  </cols>
  <sheetData>
    <row r="3" ht="17" customHeight="1" thickBot="1"/>
    <row r="4">
      <c r="C4" s="249" t="inlineStr">
        <is>
          <t xml:space="preserve">文件名 Document name: STLA 測試用例規範和結果_SWQT
STLA Test Case Specification &amp; Result_SWQT </t>
        </is>
      </c>
      <c r="D4" s="241" t="n"/>
      <c r="E4" s="241" t="n"/>
      <c r="F4" s="241" t="n"/>
      <c r="G4" s="241" t="n"/>
      <c r="H4" s="242" t="n"/>
    </row>
    <row r="5">
      <c r="C5" s="250" t="n"/>
      <c r="H5" s="243" t="n"/>
    </row>
    <row r="6">
      <c r="C6" s="56" t="inlineStr">
        <is>
          <t>版本 Version</t>
        </is>
      </c>
      <c r="D6" s="251" t="inlineStr">
        <is>
          <t>B</t>
        </is>
      </c>
      <c r="E6" s="252" t="n"/>
      <c r="F6" s="247" t="n"/>
      <c r="G6" s="253" t="inlineStr">
        <is>
          <t>修訂日期 Revision Date</t>
        </is>
      </c>
      <c r="H6" s="254" t="n"/>
    </row>
    <row r="7" ht="16.25" customHeight="1">
      <c r="A7" s="57" t="n"/>
      <c r="B7" s="57" t="n"/>
      <c r="C7" s="58" t="inlineStr">
        <is>
          <t>核准者 Approver</t>
        </is>
      </c>
      <c r="D7" s="255" t="inlineStr">
        <is>
          <t>劉安哲 AllenACLiu</t>
        </is>
      </c>
      <c r="E7" s="252" t="n"/>
      <c r="F7" s="247" t="n"/>
      <c r="G7" s="256" t="n"/>
      <c r="H7" s="254" t="n"/>
    </row>
    <row r="8" ht="16.25" customHeight="1">
      <c r="A8" s="57" t="n"/>
      <c r="B8" s="57" t="n"/>
      <c r="C8" s="58" t="inlineStr">
        <is>
          <t>審查者 Reviewer</t>
        </is>
      </c>
      <c r="D8" s="255" t="inlineStr">
        <is>
          <t>張愷霏 ErinKFChang</t>
        </is>
      </c>
      <c r="E8" s="252" t="n"/>
      <c r="F8" s="247" t="n"/>
      <c r="G8" s="256" t="n"/>
      <c r="H8" s="254" t="n"/>
    </row>
    <row r="9" ht="17" customHeight="1" thickBot="1">
      <c r="A9" s="57" t="n"/>
      <c r="B9" s="57" t="n"/>
      <c r="C9" s="59" t="inlineStr">
        <is>
          <t>作者 Author</t>
        </is>
      </c>
      <c r="D9" s="257" t="inlineStr">
        <is>
          <t>許珮瑜 PeiPYHsu</t>
        </is>
      </c>
      <c r="E9" s="258" t="n"/>
      <c r="F9" s="259" t="n"/>
      <c r="G9" s="260" t="n"/>
      <c r="H9" s="261" t="n"/>
    </row>
    <row r="11" ht="17" customHeight="1" thickBot="1"/>
    <row r="12" ht="17" customHeight="1" thickTop="1">
      <c r="C12" s="262" t="inlineStr">
        <is>
          <t>FM-WI-FSM-036-A01 STLA 測試用例規範與結果_SWQT STLA Test Case Specification &amp; Result_SWQT_CFTS025_PlayerFunctions</t>
        </is>
      </c>
      <c r="D12" s="263" t="n"/>
      <c r="E12" s="263" t="n"/>
      <c r="F12" s="263" t="n"/>
      <c r="G12" s="263" t="n"/>
      <c r="H12" s="264" t="n"/>
    </row>
    <row r="13">
      <c r="C13" s="265" t="n"/>
      <c r="H13" s="266" t="n"/>
    </row>
    <row r="14">
      <c r="C14" s="265" t="n"/>
      <c r="H14" s="266" t="n"/>
    </row>
    <row r="15">
      <c r="C15" s="265" t="n"/>
      <c r="H15" s="266" t="n"/>
    </row>
    <row r="16">
      <c r="C16" s="265" t="n"/>
      <c r="H16" s="266" t="n"/>
    </row>
    <row r="17">
      <c r="C17" s="265" t="n"/>
      <c r="H17" s="266" t="n"/>
    </row>
    <row r="18">
      <c r="C18" s="265" t="n"/>
      <c r="H18" s="266" t="n"/>
    </row>
    <row r="19">
      <c r="C19" s="265" t="n"/>
      <c r="H19" s="266" t="n"/>
    </row>
    <row r="20">
      <c r="C20" s="265" t="n"/>
      <c r="H20" s="266" t="n"/>
    </row>
    <row r="21">
      <c r="C21" s="265" t="n"/>
      <c r="H21" s="266" t="n"/>
    </row>
    <row r="22">
      <c r="C22" s="265" t="n"/>
      <c r="H22" s="266" t="n"/>
    </row>
    <row r="23">
      <c r="C23" s="265" t="n"/>
      <c r="H23" s="266" t="n"/>
    </row>
    <row r="24">
      <c r="C24" s="265" t="n"/>
      <c r="H24" s="266" t="n"/>
    </row>
    <row r="25">
      <c r="C25" s="265" t="n"/>
      <c r="H25" s="266" t="n"/>
    </row>
    <row r="26">
      <c r="C26" s="265" t="n"/>
      <c r="H26" s="266" t="n"/>
    </row>
    <row r="27">
      <c r="C27" s="265" t="n"/>
      <c r="H27" s="266" t="n"/>
    </row>
    <row r="28">
      <c r="C28" s="265" t="n"/>
      <c r="H28" s="266" t="n"/>
    </row>
    <row r="29" ht="17" customHeight="1" thickBot="1">
      <c r="C29" s="267" t="n"/>
      <c r="D29" s="268" t="n"/>
      <c r="E29" s="268" t="n"/>
      <c r="F29" s="268" t="n"/>
      <c r="G29" s="268" t="n"/>
      <c r="H29" s="269" t="n"/>
    </row>
    <row r="30" ht="17" customHeight="1" thickTop="1">
      <c r="H30" s="55"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zoomScale="90" zoomScaleNormal="90" workbookViewId="0">
      <selection activeCell="F1" sqref="F1"/>
    </sheetView>
  </sheetViews>
  <sheetFormatPr baseColWidth="10" defaultColWidth="8.83203125" defaultRowHeight="16"/>
  <cols>
    <col width="11.5" customWidth="1" style="53" min="1" max="1"/>
    <col width="68.1640625" customWidth="1" style="53" min="2" max="2"/>
    <col width="17.83203125" customWidth="1" style="53" min="3" max="3"/>
    <col width="12.83203125" customWidth="1" style="270" min="4" max="4"/>
    <col width="17.5" customWidth="1" style="53" min="5" max="5"/>
    <col width="8.83203125" customWidth="1" style="41" min="6" max="16384"/>
  </cols>
  <sheetData>
    <row r="1">
      <c r="A1" s="271" t="inlineStr">
        <is>
          <t>修訂履歷  Revision History</t>
        </is>
      </c>
      <c r="B1" s="241" t="n"/>
      <c r="C1" s="241" t="n"/>
      <c r="D1" s="241" t="n"/>
      <c r="E1" s="242" t="n"/>
    </row>
    <row r="2">
      <c r="A2" s="250" t="n"/>
      <c r="E2" s="243" t="n"/>
    </row>
    <row r="3" ht="17" customHeight="1" thickBot="1">
      <c r="A3" s="272" t="n"/>
      <c r="B3" s="273" t="n"/>
      <c r="C3" s="273" t="n"/>
      <c r="D3" s="273" t="n"/>
      <c r="E3" s="274" t="n"/>
    </row>
    <row r="4">
      <c r="A4" s="42" t="inlineStr">
        <is>
          <t>版本 Ver.</t>
        </is>
      </c>
      <c r="B4" s="43" t="inlineStr">
        <is>
          <t>修訂内容 Revision Content</t>
        </is>
      </c>
      <c r="C4" s="43" t="inlineStr">
        <is>
          <t>修訂人Reviser</t>
        </is>
      </c>
      <c r="D4" s="275"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76" t="n">
        <v>45950</v>
      </c>
      <c r="E5" s="91" t="inlineStr">
        <is>
          <t>劉安哲
AllenACLiu</t>
        </is>
      </c>
    </row>
    <row r="6" ht="105" customHeight="1">
      <c r="A6" s="35" t="inlineStr">
        <is>
          <t>B</t>
        </is>
      </c>
      <c r="B6" s="89"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76" t="n">
        <v>45999</v>
      </c>
      <c r="E6" s="91" t="inlineStr">
        <is>
          <t>劉安哲
AllenACLiu</t>
        </is>
      </c>
    </row>
    <row r="7" ht="93" customHeight="1">
      <c r="A7" s="35" t="inlineStr">
        <is>
          <t>C</t>
        </is>
      </c>
      <c r="B7" s="89"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76" t="n">
        <v>46043</v>
      </c>
      <c r="E7" s="155" t="inlineStr">
        <is>
          <t>劉安哲
AllenACLiu</t>
        </is>
      </c>
    </row>
    <row r="8">
      <c r="A8" s="47" t="n"/>
      <c r="B8" s="47" t="n"/>
      <c r="C8" s="48" t="n"/>
      <c r="D8" s="277" t="n"/>
      <c r="E8" s="46" t="n"/>
    </row>
    <row r="9">
      <c r="A9" s="47" t="n"/>
      <c r="B9" s="47" t="n"/>
      <c r="C9" s="48" t="n"/>
      <c r="D9" s="277" t="n"/>
      <c r="E9" s="46" t="n"/>
    </row>
    <row r="10">
      <c r="A10" s="47" t="n"/>
      <c r="B10" s="47" t="n"/>
      <c r="C10" s="48" t="n"/>
      <c r="D10" s="277" t="n"/>
      <c r="E10" s="46" t="n"/>
    </row>
    <row r="11">
      <c r="A11" s="47" t="n"/>
      <c r="B11" s="47" t="n"/>
      <c r="C11" s="48" t="n"/>
      <c r="D11" s="277" t="n"/>
      <c r="E11" s="46" t="n"/>
    </row>
    <row r="12">
      <c r="A12" s="47" t="n"/>
      <c r="B12" s="47" t="n"/>
      <c r="C12" s="48" t="n"/>
      <c r="D12" s="277" t="n"/>
      <c r="E12" s="46" t="n"/>
    </row>
    <row r="13">
      <c r="A13" s="47" t="n"/>
      <c r="B13" s="47" t="n"/>
      <c r="C13" s="48" t="n"/>
      <c r="D13" s="277" t="n"/>
      <c r="E13" s="46" t="n"/>
    </row>
    <row r="14">
      <c r="A14" s="47" t="n"/>
      <c r="B14" s="47" t="n"/>
      <c r="C14" s="48" t="n"/>
      <c r="D14" s="277" t="n"/>
      <c r="E14" s="46" t="n"/>
    </row>
    <row r="15" ht="17" customHeight="1" thickBot="1">
      <c r="A15" s="50" t="n"/>
      <c r="B15" s="50" t="n"/>
      <c r="C15" s="50" t="n"/>
      <c r="D15" s="278" t="n"/>
      <c r="E15" s="52" t="n"/>
    </row>
    <row r="16">
      <c r="E16" s="55" t="inlineStr">
        <is>
          <t>FM-WI-FSM-036-A01</t>
        </is>
      </c>
    </row>
    <row r="17">
      <c r="E17" s="55"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topLeftCell="A2" zoomScale="110" zoomScaleNormal="110" workbookViewId="0">
      <selection activeCell="C13" sqref="C13"/>
    </sheetView>
  </sheetViews>
  <sheetFormatPr baseColWidth="10" defaultColWidth="8.6640625" defaultRowHeight="16"/>
  <cols>
    <col width="18.5" customWidth="1" style="78" min="1" max="1"/>
    <col width="44" customWidth="1" style="78" min="2" max="2"/>
    <col width="18.6640625" customWidth="1" style="78" min="3" max="3"/>
    <col width="17" customWidth="1" style="78" min="4" max="4"/>
    <col width="8.6640625" customWidth="1" style="78" min="5" max="16384"/>
  </cols>
  <sheetData>
    <row r="1" ht="38" customHeight="1">
      <c r="A1" s="231" t="inlineStr">
        <is>
          <t>產品文件
Product Document</t>
        </is>
      </c>
      <c r="E1" s="231" t="n"/>
    </row>
    <row r="2" ht="18" customHeight="1">
      <c r="B2" s="79" t="n"/>
      <c r="C2" s="79" t="n"/>
      <c r="D2" s="80" t="inlineStr">
        <is>
          <t>FM-WI-FSM-036-A01</t>
        </is>
      </c>
      <c r="E2" s="231" t="n"/>
      <c r="F2" s="231" t="n"/>
      <c r="G2" s="231" t="n"/>
      <c r="H2" s="231" t="n"/>
    </row>
    <row r="3" ht="33" customHeight="1">
      <c r="A3" s="82" t="inlineStr">
        <is>
          <t>專案代號
Project Code</t>
        </is>
      </c>
      <c r="B3" s="279" t="inlineStr">
        <is>
          <t>new R1L</t>
        </is>
      </c>
      <c r="C3" s="280" t="n"/>
      <c r="D3" s="281" t="n"/>
      <c r="E3" s="83" t="n"/>
      <c r="F3" s="83" t="n"/>
      <c r="G3" s="83" t="n"/>
      <c r="H3" s="83" t="n"/>
    </row>
    <row r="4" ht="33" customHeight="1">
      <c r="A4" s="82" t="inlineStr">
        <is>
          <t>文件名稱
Document Name</t>
        </is>
      </c>
      <c r="B4" s="235" t="inlineStr">
        <is>
          <t>FM-WI-FSM-036-A01 測試用例規範與結果_SWQT Test Case Specification &amp; Result_SWQT_CFTS025_PlayerFunctions</t>
        </is>
      </c>
      <c r="C4" s="252" t="n"/>
      <c r="D4" s="247" t="n"/>
    </row>
    <row r="5" ht="33" customHeight="1">
      <c r="A5" s="82" t="inlineStr">
        <is>
          <t>版本
Version</t>
        </is>
      </c>
      <c r="B5" s="229" t="inlineStr">
        <is>
          <t>V1.0</t>
        </is>
      </c>
      <c r="C5" s="252" t="n"/>
      <c r="D5" s="247" t="n"/>
    </row>
    <row r="6" ht="33" customHeight="1">
      <c r="A6" s="82" t="inlineStr">
        <is>
          <t>部門
Prepared Dep.</t>
        </is>
      </c>
      <c r="B6" s="229" t="inlineStr">
        <is>
          <t>SW Testing</t>
        </is>
      </c>
      <c r="C6" s="252" t="n"/>
      <c r="D6" s="247" t="n"/>
    </row>
    <row r="7" ht="33" customHeight="1">
      <c r="A7" s="82" t="inlineStr">
        <is>
          <t>分類
Classification</t>
        </is>
      </c>
      <c r="B7" s="229" t="inlineStr">
        <is>
          <t>Confidential</t>
        </is>
      </c>
      <c r="C7" s="252" t="n"/>
      <c r="D7" s="247" t="n"/>
    </row>
    <row r="8" ht="33" customHeight="1">
      <c r="A8" s="82" t="inlineStr">
        <is>
          <t>日期
Date</t>
        </is>
      </c>
      <c r="B8" s="230" t="n">
        <v>46055</v>
      </c>
      <c r="C8" s="252" t="n"/>
      <c r="D8" s="247" t="n"/>
    </row>
    <row r="11" ht="38.5" customHeight="1">
      <c r="A11" s="231" t="inlineStr">
        <is>
          <t>文件修訂歷史
Document Amendment History</t>
        </is>
      </c>
    </row>
    <row r="12" ht="17" customHeight="1">
      <c r="A12" s="235" t="inlineStr">
        <is>
          <t>版本Version</t>
        </is>
      </c>
      <c r="B12" s="84" t="inlineStr">
        <is>
          <t>修訂內容Revision Content</t>
        </is>
      </c>
      <c r="C12" s="85" t="inlineStr">
        <is>
          <t>作者Author</t>
        </is>
      </c>
      <c r="D12" s="85" t="inlineStr">
        <is>
          <t>日期Date</t>
        </is>
      </c>
    </row>
    <row r="13" ht="19" customHeight="1">
      <c r="A13" s="93" t="inlineStr">
        <is>
          <t>V1.0</t>
        </is>
      </c>
      <c r="B13" s="93" t="inlineStr">
        <is>
          <t>Initial Release 初版發布</t>
        </is>
      </c>
      <c r="C13" s="157" t="inlineStr">
        <is>
          <t>許珮瑜 PeiPYHsu</t>
        </is>
      </c>
      <c r="D13" s="102" t="n">
        <v>46055</v>
      </c>
    </row>
    <row r="14">
      <c r="A14" s="82" t="n"/>
      <c r="B14" s="85" t="n"/>
      <c r="C14" s="85" t="n"/>
      <c r="D14" s="85" t="n"/>
    </row>
    <row r="15">
      <c r="A15" s="82" t="n"/>
      <c r="B15" s="86" t="n"/>
      <c r="C15" s="87" t="n"/>
      <c r="D15" s="85" t="n"/>
    </row>
    <row r="16">
      <c r="A16" s="82" t="n"/>
      <c r="B16" s="86" t="n"/>
      <c r="C16" s="87" t="n"/>
      <c r="D16" s="85"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8"/>
  <sheetViews>
    <sheetView showGridLines="0" tabSelected="1" zoomScale="120" zoomScaleNormal="120" workbookViewId="0">
      <selection activeCell="F10" sqref="F10"/>
    </sheetView>
  </sheetViews>
  <sheetFormatPr baseColWidth="10" defaultColWidth="9" defaultRowHeight="13"/>
  <cols>
    <col width="2.83203125" customWidth="1" style="96" min="1" max="1"/>
    <col width="8.6640625" bestFit="1" customWidth="1" style="70" min="2" max="2"/>
    <col width="24.5" bestFit="1" customWidth="1" style="96" min="3" max="3"/>
    <col width="26.83203125" customWidth="1" style="70" min="4" max="4"/>
    <col hidden="1" width="11.83203125" customWidth="1" style="96" min="5" max="5"/>
    <col width="19.6640625" bestFit="1" customWidth="1" style="70" min="6" max="6"/>
    <col width="14.5" bestFit="1" customWidth="1" style="70" min="7" max="7"/>
    <col width="13.6640625" bestFit="1" customWidth="1" style="96" min="8" max="8"/>
    <col width="33.6640625" customWidth="1" style="133" min="9" max="9"/>
    <col width="24.1640625" customWidth="1" style="99" min="10" max="10"/>
    <col width="25.5" customWidth="1" style="129" min="11" max="11"/>
    <col width="40" customWidth="1" style="129" min="12" max="12"/>
    <col width="41" customWidth="1" style="133" min="13" max="13"/>
    <col width="23.33203125" customWidth="1" style="96" min="14" max="14"/>
    <col width="14.6640625" customWidth="1" style="96" min="15" max="15"/>
    <col width="16.6640625" customWidth="1" style="96" min="16" max="16"/>
    <col width="16.1640625" customWidth="1" style="156" min="17" max="17"/>
    <col width="19.1640625" customWidth="1" style="96" min="18" max="18"/>
    <col width="14.33203125" customWidth="1" style="96" min="19" max="19"/>
    <col hidden="1" outlineLevel="1" width="12.33203125" customWidth="1" style="96" min="20" max="20"/>
    <col hidden="1" outlineLevel="1" width="10.5" customWidth="1" style="96" min="21" max="21"/>
    <col hidden="1" outlineLevel="1" width="19.6640625" customWidth="1" style="96" min="22" max="22"/>
    <col hidden="1" outlineLevel="1" width="15.6640625" customWidth="1" style="96" min="23" max="23"/>
    <col hidden="1" outlineLevel="1" width="14.33203125" customWidth="1" style="99" min="24" max="24"/>
    <col hidden="1" outlineLevel="1" width="14.6640625" customWidth="1" style="96" min="25" max="25"/>
    <col hidden="1" outlineLevel="1" width="11.6640625" customWidth="1" style="96" min="26" max="26"/>
    <col collapsed="1" width="13.1640625" bestFit="1" customWidth="1" style="96" min="27" max="27"/>
    <col width="9.6640625" bestFit="1" customWidth="1" style="96" min="28" max="28"/>
    <col width="15.33203125" bestFit="1" customWidth="1" style="96" min="29" max="29"/>
    <col width="15.33203125" customWidth="1" style="96" min="30" max="30"/>
    <col width="10.6640625" bestFit="1" customWidth="1" style="96" min="31" max="31"/>
    <col width="14.5" bestFit="1" customWidth="1" style="96" min="32" max="32"/>
    <col width="10.83203125" bestFit="1" customWidth="1" style="96" min="33" max="33"/>
    <col width="33.6640625" customWidth="1" style="96" min="34" max="34"/>
    <col width="9" customWidth="1" style="96" min="35" max="16384"/>
  </cols>
  <sheetData>
    <row r="1" ht="57.25" customFormat="1" customHeight="1" s="61">
      <c r="A1" s="164" t="inlineStr">
        <is>
          <t xml:space="preserve">STLA 測試用例規範和結果_SWQT
STLA Test Case Specification &amp; Result_SWQT </t>
        </is>
      </c>
      <c r="AF1" s="60" t="n"/>
      <c r="AG1" s="60" t="n"/>
      <c r="AH1" s="60" t="n"/>
    </row>
    <row r="2" ht="14" customFormat="1" customHeight="1" s="61">
      <c r="B2" s="65" t="n"/>
      <c r="C2" s="62" t="inlineStr">
        <is>
          <t>專案名稱 Project  Name：</t>
        </is>
      </c>
      <c r="D2" s="94" t="inlineStr">
        <is>
          <t>newR1L</t>
        </is>
      </c>
      <c r="E2" s="64" t="n"/>
      <c r="F2" s="65" t="n"/>
      <c r="G2" s="65" t="n"/>
      <c r="H2" s="66" t="n"/>
      <c r="I2" s="66" t="n"/>
      <c r="J2" s="94" t="n"/>
      <c r="M2" s="133" t="n"/>
    </row>
    <row r="3" ht="14" customFormat="1" customHeight="1" s="61">
      <c r="B3" s="65" t="n"/>
      <c r="C3" s="62" t="inlineStr">
        <is>
          <t>審查者 Reviewer：</t>
        </is>
      </c>
      <c r="D3" s="63" t="n"/>
      <c r="E3" s="64" t="n"/>
      <c r="F3" s="65" t="n"/>
      <c r="G3" s="65" t="n"/>
      <c r="H3" s="66" t="n"/>
      <c r="I3" s="66" t="n"/>
      <c r="J3" s="94" t="n"/>
      <c r="M3" s="138" t="n"/>
      <c r="N3" s="62" t="n"/>
      <c r="O3" s="62" t="n"/>
      <c r="P3" s="66" t="n"/>
      <c r="Q3" s="66" t="n"/>
      <c r="R3" s="66" t="n"/>
      <c r="S3" s="66" t="n"/>
      <c r="T3" s="66" t="n"/>
      <c r="U3" s="66" t="n"/>
      <c r="V3" s="66" t="n"/>
      <c r="W3" s="66" t="n"/>
    </row>
    <row r="4" ht="14" customFormat="1" customHeight="1" s="61">
      <c r="B4" s="65" t="n"/>
      <c r="C4" s="62" t="inlineStr">
        <is>
          <t>目的 Purpose：</t>
        </is>
      </c>
      <c r="D4" s="63" t="n"/>
      <c r="E4" s="64" t="n"/>
      <c r="F4" s="65" t="n"/>
      <c r="G4" s="65" t="n"/>
      <c r="H4" s="67" t="n"/>
      <c r="I4" s="67" t="n"/>
      <c r="J4" s="67" t="n"/>
      <c r="K4" s="67" t="n"/>
      <c r="L4" s="67" t="n"/>
      <c r="M4" s="139" t="n"/>
      <c r="N4" s="67" t="n"/>
      <c r="O4" s="67" t="n"/>
      <c r="P4" s="67" t="n"/>
      <c r="Q4" s="67" t="n"/>
      <c r="R4" s="67" t="n"/>
      <c r="S4" s="67" t="n"/>
      <c r="T4" s="67" t="n"/>
      <c r="U4" s="67" t="n"/>
      <c r="V4" s="67" t="n"/>
      <c r="W4" s="67" t="n"/>
      <c r="X4" s="67" t="n"/>
      <c r="Y4" s="67" t="n"/>
      <c r="Z4" s="67" t="n"/>
    </row>
    <row r="5" ht="14" customFormat="1" customHeight="1" s="61">
      <c r="B5" s="100" t="n"/>
      <c r="C5" s="68" t="inlineStr">
        <is>
          <t>範圍 Scope：</t>
        </is>
      </c>
      <c r="D5" s="69" t="inlineStr">
        <is>
          <t>FM-WI-SW-PSCFTS091-PLA-A04</t>
        </is>
      </c>
      <c r="E5" s="64" t="n"/>
      <c r="F5" s="65" t="n"/>
      <c r="G5" s="65" t="n"/>
      <c r="H5" s="67" t="n"/>
      <c r="I5" s="62" t="inlineStr">
        <is>
          <t>日期 Date：</t>
        </is>
      </c>
      <c r="J5" s="101" t="n">
        <v>46055</v>
      </c>
      <c r="K5" s="67" t="n"/>
      <c r="L5" s="67" t="n"/>
      <c r="M5" s="67" t="n"/>
      <c r="N5" s="67" t="n"/>
      <c r="O5" s="67" t="n"/>
      <c r="P5" s="67" t="n"/>
      <c r="Q5" s="67" t="n"/>
      <c r="R5" s="67" t="n"/>
      <c r="S5" s="67" t="n"/>
      <c r="T5" s="67" t="n"/>
      <c r="U5" s="67" t="n"/>
      <c r="V5" s="67" t="n"/>
      <c r="W5" s="67" t="n"/>
      <c r="X5" s="67" t="n"/>
      <c r="Y5" s="67" t="n"/>
      <c r="Z5" s="67" t="n"/>
      <c r="AH5" s="95" t="inlineStr">
        <is>
          <t>FM-WI-FSM-036-A01</t>
        </is>
      </c>
    </row>
    <row r="6">
      <c r="I6" s="96" t="n"/>
      <c r="K6" s="96" t="n"/>
      <c r="L6" s="96" t="n"/>
      <c r="M6" s="96" t="n"/>
    </row>
    <row r="7">
      <c r="B7" s="161" t="inlineStr">
        <is>
          <t>Test Case Specification
測試案例規格</t>
        </is>
      </c>
      <c r="C7" s="282" t="n"/>
      <c r="D7" s="282" t="n"/>
      <c r="E7" s="282" t="n"/>
      <c r="F7" s="282" t="n"/>
      <c r="G7" s="282" t="n"/>
      <c r="H7" s="282" t="n"/>
      <c r="I7" s="282" t="n"/>
      <c r="J7" s="282" t="n"/>
      <c r="K7" s="282" t="n"/>
      <c r="L7" s="282" t="n"/>
      <c r="M7" s="282" t="n"/>
      <c r="N7" s="282" t="n"/>
      <c r="O7" s="282" t="n"/>
      <c r="P7" s="282" t="n"/>
      <c r="Q7" s="282" t="n"/>
      <c r="R7" s="282" t="n"/>
      <c r="S7" s="282" t="n"/>
      <c r="T7" s="282" t="n"/>
      <c r="U7" s="282" t="n"/>
      <c r="V7" s="282" t="n"/>
      <c r="W7" s="282" t="n"/>
      <c r="X7" s="282" t="n"/>
      <c r="Y7" s="282" t="n"/>
      <c r="Z7" s="282" t="n"/>
      <c r="AA7" s="283" t="n"/>
      <c r="AB7" s="161" t="inlineStr">
        <is>
          <t>Test Result
測試結果</t>
        </is>
      </c>
      <c r="AC7" s="282" t="n"/>
      <c r="AD7" s="282" t="n"/>
      <c r="AE7" s="282" t="n"/>
      <c r="AF7" s="282" t="n"/>
      <c r="AG7" s="282" t="n"/>
      <c r="AH7" s="283" t="n"/>
    </row>
    <row r="8" ht="28" customFormat="1" customHeight="1" s="70">
      <c r="B8" s="71" t="n"/>
      <c r="C8" s="72" t="n"/>
      <c r="D8" s="72" t="n"/>
      <c r="E8" s="72" t="n"/>
      <c r="F8" s="72" t="n"/>
      <c r="G8" s="72" t="n"/>
      <c r="H8" s="72" t="n"/>
      <c r="I8" s="72" t="n"/>
      <c r="J8" s="72" t="inlineStr">
        <is>
          <t xml:space="preserve">
</t>
        </is>
      </c>
      <c r="K8" s="72" t="inlineStr">
        <is>
          <t xml:space="preserve">
</t>
        </is>
      </c>
      <c r="L8" s="72" t="n"/>
      <c r="M8" s="72" t="n"/>
      <c r="N8" s="72" t="n"/>
      <c r="O8" s="73" t="n"/>
      <c r="P8" s="74" t="n"/>
      <c r="Q8" s="74" t="n"/>
      <c r="R8" s="72" t="n"/>
      <c r="S8" s="72" t="n"/>
      <c r="T8" s="160" t="inlineStr">
        <is>
          <t>Vehicle Model 車型</t>
        </is>
      </c>
      <c r="U8" s="282" t="n"/>
      <c r="V8" s="282" t="n"/>
      <c r="W8" s="282" t="n"/>
      <c r="X8" s="282" t="n"/>
      <c r="Y8" s="282" t="n"/>
      <c r="Z8" s="283" t="n"/>
      <c r="AA8" s="72" t="inlineStr">
        <is>
          <t xml:space="preserve">
</t>
        </is>
      </c>
      <c r="AB8" s="72" t="n"/>
      <c r="AC8" s="72" t="n"/>
      <c r="AD8" s="72" t="n"/>
      <c r="AE8" s="72" t="n"/>
      <c r="AF8" s="74" t="n"/>
      <c r="AG8" s="74" t="n"/>
      <c r="AH8" s="72" t="n"/>
    </row>
    <row r="9" ht="56" customFormat="1" customHeight="1" s="75">
      <c r="B9" s="90" t="inlineStr">
        <is>
          <t>No.#
序號</t>
        </is>
      </c>
      <c r="C9" s="74" t="inlineStr">
        <is>
          <t>Requirement or Design
ID (Polarion)
設計/需求 ID (Polarion)</t>
        </is>
      </c>
      <c r="D9" s="74" t="inlineStr">
        <is>
          <t>Requirement or Design ID
需求/設計 ID</t>
        </is>
      </c>
      <c r="E9" s="74" t="inlineStr">
        <is>
          <t>Test Case ID (TestRail)
測試用例 ID (TestRail)</t>
        </is>
      </c>
      <c r="F9" s="74" t="inlineStr">
        <is>
          <t>Test Case ID
測試用例ID</t>
        </is>
      </c>
      <c r="G9" s="74" t="inlineStr">
        <is>
          <t>Test Group
測試組</t>
        </is>
      </c>
      <c r="H9" s="74" t="inlineStr">
        <is>
          <t>Test Set
測試集</t>
        </is>
      </c>
      <c r="I9" s="74" t="inlineStr">
        <is>
          <t>Test Item
測試項目</t>
        </is>
      </c>
      <c r="J9" s="74" t="inlineStr">
        <is>
          <t>Pre-Conditions
先前條件</t>
        </is>
      </c>
      <c r="K9" s="74" t="inlineStr">
        <is>
          <t>Input Test Data
輸入條件</t>
        </is>
      </c>
      <c r="L9" s="74" t="inlineStr">
        <is>
          <t>Test procedure
測試程序</t>
        </is>
      </c>
      <c r="M9" s="74" t="inlineStr">
        <is>
          <t>Expected Result
預期結果</t>
        </is>
      </c>
      <c r="N9" s="74" t="inlineStr">
        <is>
          <t>Specification Reference 
規格參考</t>
        </is>
      </c>
      <c r="O9" s="74" t="inlineStr">
        <is>
          <t>Test Case Reference ID
測項參考ID</t>
        </is>
      </c>
      <c r="P9" s="74" t="inlineStr">
        <is>
          <t>Test Case Priority
測試用例優先級別</t>
        </is>
      </c>
      <c r="Q9" s="92" t="inlineStr">
        <is>
          <t>Estimated Test Time (mins)
預估測試時間
（分鐘）</t>
        </is>
      </c>
      <c r="R9" s="74" t="inlineStr">
        <is>
          <t>Test Case Design 
Methods
測試用例設計方法</t>
        </is>
      </c>
      <c r="S9" s="74" t="inlineStr">
        <is>
          <t>Functional Safety
功能安全</t>
        </is>
      </c>
      <c r="T9" s="72" t="inlineStr">
        <is>
          <t xml:space="preserve">HDCC27
Atl-Hi
</t>
        </is>
      </c>
      <c r="U9" s="72" t="inlineStr">
        <is>
          <t xml:space="preserve">DT27
Atl-Hi
</t>
        </is>
      </c>
      <c r="V9" s="72" t="inlineStr">
        <is>
          <t>VF(ProMaster)637
Atl-Mi</t>
        </is>
      </c>
      <c r="W9" s="72" t="inlineStr">
        <is>
          <t>Commander (598)
Atl-Mi</t>
        </is>
      </c>
      <c r="X9" s="72" t="inlineStr">
        <is>
          <t>Regengade (5210)
Atl-Mi</t>
        </is>
      </c>
      <c r="Y9" s="72" t="inlineStr">
        <is>
          <t>Toro(2261)
Atl-Mi</t>
        </is>
      </c>
      <c r="Z9" s="72" t="inlineStr">
        <is>
          <t>Fastack (376)
Atl-Mi</t>
        </is>
      </c>
      <c r="AA9" s="74" t="inlineStr">
        <is>
          <t>Test Case Author
測試案例作者</t>
        </is>
      </c>
      <c r="AB9" s="74" t="inlineStr">
        <is>
          <t>Test Version
測試版號</t>
        </is>
      </c>
      <c r="AC9" s="74" t="inlineStr">
        <is>
          <t>Test Vehicle
(Bench)
測試車型(Bench)</t>
        </is>
      </c>
      <c r="AD9" s="74" t="inlineStr">
        <is>
          <t>Test Period
測試期間</t>
        </is>
      </c>
      <c r="AE9" s="74" t="inlineStr">
        <is>
          <t>Tester
測試者</t>
        </is>
      </c>
      <c r="AF9" s="74" t="inlineStr">
        <is>
          <t>Test Result
測試結果</t>
        </is>
      </c>
      <c r="AG9" s="74" t="inlineStr">
        <is>
          <t>Defect ID
缺陷ID</t>
        </is>
      </c>
      <c r="AH9" s="74" t="inlineStr">
        <is>
          <t>Remarks
備註</t>
        </is>
      </c>
    </row>
    <row r="10" ht="122.5" customHeight="1">
      <c r="A10" s="110" t="n"/>
      <c r="B10" s="104" t="n">
        <v>1</v>
      </c>
      <c r="C10" s="119" t="inlineStr">
        <is>
          <t>NRL-132737</t>
        </is>
      </c>
      <c r="D10" s="106" t="inlineStr">
        <is>
          <t>SWE1-PLA-001</t>
        </is>
      </c>
      <c r="E10" s="104" t="n"/>
      <c r="F10" s="107" t="inlineStr">
        <is>
          <t>NR1L-Player-001</t>
        </is>
      </c>
      <c r="G10" s="104" t="inlineStr">
        <is>
          <t>Player</t>
        </is>
      </c>
      <c r="H10" s="104" t="inlineStr">
        <is>
          <t>Error Handling</t>
        </is>
      </c>
      <c r="I10" s="123" t="inlineStr">
        <is>
          <t>When “No Supported Files Found Error” occurs, the HU shall display Pop Up ID PU0003 (or otherwise indicate an error according to HMI requirements).
(See the HMI Pup Up List reference document for Pup Up ID.)
(No supported media files → popup PU0003 displayed)</t>
        </is>
      </c>
      <c r="J10" s="111" t="n"/>
      <c r="K10" s="135" t="inlineStr">
        <is>
          <t>1. One USB storage device formatted with a file system supported by the HU.
2. The USB storage device contains files with the following formats only:
• .txt
• .pdf</t>
        </is>
      </c>
      <c r="L10" s="124" t="inlineStr">
        <is>
          <t>1. Insert the prepared USB storage device into the HU USB port.
2. Press "Media" icon on menu bar.
3. Select "Source" tab.
4. Select "USB" button as the active source.
5. Check the system response after selecting the USB source.</t>
        </is>
      </c>
      <c r="M10" s="134" t="inlineStr">
        <is>
          <t>1. The HU detects the USB storage device.
2. The Media page is displayed.
3. The Source Tab is displayed.
4. Media scanning is initiated after selecting the USB source.
5. The HU displays a popup with ID PU00003 when no supported media files are detected.</t>
        </is>
      </c>
      <c r="N10" s="103" t="inlineStr">
        <is>
          <t>CFTS025-4876520
Pop Up List HMI R1 SR24 Post 2A (Dec 15, 2023) - PU0003</t>
        </is>
      </c>
      <c r="O10" s="104" t="inlineStr">
        <is>
          <t>NEW</t>
        </is>
      </c>
      <c r="P10" s="140" t="inlineStr">
        <is>
          <t>P1</t>
        </is>
      </c>
      <c r="Q10" s="76" t="n"/>
      <c r="R10" s="104" t="inlineStr">
        <is>
          <t>負向測試 (Negative / Invalid)</t>
        </is>
      </c>
      <c r="S10" s="104" t="inlineStr">
        <is>
          <t>NA</t>
        </is>
      </c>
      <c r="T10" s="104" t="n">
        <v>1</v>
      </c>
      <c r="U10" s="104" t="n">
        <v>1</v>
      </c>
      <c r="V10" s="104" t="n">
        <v>1</v>
      </c>
      <c r="W10" s="104" t="n">
        <v>1</v>
      </c>
      <c r="X10" s="104" t="n">
        <v>1</v>
      </c>
      <c r="Y10" s="109" t="n">
        <v>1</v>
      </c>
      <c r="Z10" s="104" t="n">
        <v>1</v>
      </c>
      <c r="AA10" s="104" t="inlineStr">
        <is>
          <t>Pei</t>
        </is>
      </c>
      <c r="AB10" s="104" t="n"/>
      <c r="AC10" s="104" t="n"/>
      <c r="AD10" s="104" t="n"/>
      <c r="AE10" s="104" t="n"/>
      <c r="AF10" s="104" t="n"/>
      <c r="AG10" s="104" t="n"/>
      <c r="AH10" s="111" t="n"/>
    </row>
    <row r="11" ht="126.5" customHeight="1">
      <c r="A11" s="110" t="n"/>
      <c r="B11" s="104" t="n">
        <v>2</v>
      </c>
      <c r="C11" s="119" t="inlineStr">
        <is>
          <t>NRL-132737</t>
        </is>
      </c>
      <c r="D11" s="106" t="inlineStr">
        <is>
          <t>SWE1-PLA-001</t>
        </is>
      </c>
      <c r="E11" s="104" t="n"/>
      <c r="F11" s="107" t="inlineStr">
        <is>
          <t>NR1L-Player-002</t>
        </is>
      </c>
      <c r="G11" s="104" t="inlineStr">
        <is>
          <t>Player</t>
        </is>
      </c>
      <c r="H11" s="104" t="inlineStr">
        <is>
          <t>Error Handling</t>
        </is>
      </c>
      <c r="I11" s="123" t="inlineStr">
        <is>
          <t>When “No Supported Files Found Error” occurs, the HU shall display Pop Up ID PU0003 (or otherwise indicate an error according to HMI requirements).
(See the HMI Pup Up List reference document for Pup Up ID.)
(Popup PU0003 message text equals "Media file not found")</t>
        </is>
      </c>
      <c r="J11" s="111" t="n"/>
      <c r="K11" s="135" t="inlineStr">
        <is>
          <t>1. One USB storage device formatted with a file system supported by the HU.
2. The USB storage device contains files with the following formats only:
• .txt
• .pdf</t>
        </is>
      </c>
      <c r="L11" s="124" t="inlineStr">
        <is>
          <t>1. Insert the prepared USB storage device into the HU USB port.
2. Press "Media" icon on menu bar.
3. Select "Source" tab.
4. Select "USB" button as the active source.
5. Check the popup message after selecting the USB source.</t>
        </is>
      </c>
      <c r="M11" s="121" t="inlineStr">
        <is>
          <t>1. The HU detects the USB storage device.
2. The Media page is displayed.
3. The Source Tab is displayed.
4. Media scanning is initiated after selecting the USB source.
5. The HU displays a popup with ID PU00003, and the message text equals "Media file not found".</t>
        </is>
      </c>
      <c r="N11" s="103" t="inlineStr">
        <is>
          <t>CFTS025-4876520
Pop Up List HMI R1 SR24 Post 2A (Dec 15, 2023) - PU0003</t>
        </is>
      </c>
      <c r="O11" s="104" t="inlineStr">
        <is>
          <t>NEW</t>
        </is>
      </c>
      <c r="P11" s="104" t="inlineStr">
        <is>
          <t>P0</t>
        </is>
      </c>
      <c r="Q11" s="76" t="n"/>
      <c r="R11" s="104" t="inlineStr">
        <is>
          <t>負向測試 (Negative / Invalid)</t>
        </is>
      </c>
      <c r="S11" s="104" t="inlineStr">
        <is>
          <t>NA</t>
        </is>
      </c>
      <c r="T11" s="104" t="n">
        <v>1</v>
      </c>
      <c r="U11" s="104" t="n">
        <v>1</v>
      </c>
      <c r="V11" s="104" t="n">
        <v>1</v>
      </c>
      <c r="W11" s="104" t="n">
        <v>1</v>
      </c>
      <c r="X11" s="104" t="n">
        <v>1</v>
      </c>
      <c r="Y11" s="109" t="n">
        <v>1</v>
      </c>
      <c r="Z11" s="104" t="n">
        <v>1</v>
      </c>
      <c r="AA11" s="104" t="inlineStr">
        <is>
          <t>Pei</t>
        </is>
      </c>
      <c r="AB11" s="104" t="n"/>
      <c r="AC11" s="104" t="n"/>
      <c r="AD11" s="104" t="n"/>
      <c r="AE11" s="104" t="n"/>
      <c r="AF11" s="104" t="n"/>
      <c r="AG11" s="104" t="n"/>
      <c r="AH11" s="111" t="n"/>
    </row>
    <row r="12" ht="140" customHeight="1">
      <c r="A12" s="110" t="n"/>
      <c r="B12" s="104">
        <f>IF(ISBLANK($D12),"",ROW()-9)</f>
        <v/>
      </c>
      <c r="C12" s="119" t="inlineStr">
        <is>
          <t>NRL-132738</t>
        </is>
      </c>
      <c r="D12" s="106" t="inlineStr">
        <is>
          <t>SWE1-PLA-002</t>
        </is>
      </c>
      <c r="E12" s="104" t="n"/>
      <c r="F12" s="107" t="inlineStr">
        <is>
          <t>NR1L-Player-003</t>
        </is>
      </c>
      <c r="G12" s="104" t="inlineStr">
        <is>
          <t>Player</t>
        </is>
      </c>
      <c r="H12" s="104" t="inlineStr">
        <is>
          <t>Error Handling</t>
        </is>
      </c>
      <c r="I12" s="123" t="inlineStr">
        <is>
          <t>When “USB Device File Read Error” occurs, the HU shall display Pop Up ID PU0024 (or otherwise indicate an error according to HMI requirements).
(See the HMI Pup Up List reference document for Pup Up ID.) while the error exists.
(Corrupted media playback → PU0024 popup displayd)</t>
        </is>
      </c>
      <c r="J12" s="111" t="n"/>
      <c r="K12" s="141" t="inlineStr">
        <is>
          <t>1. An USB storage device contains at least one corrupted audio file that is visible in the media list but cannot be decoded during playback.</t>
        </is>
      </c>
      <c r="L12" s="125" t="inlineStr">
        <is>
          <t xml:space="preserve">1. Insert the prepared USB storage device into the HU USB port.
2. Press "Media" icon on menu bar.
3. Select "Source" tab.
4. Select "USB" button as the active source.
5. Select the corrupted media file from the media file list to start playback.
6. Check the system response during playback of the corrupted media file.
</t>
        </is>
      </c>
      <c r="M12" s="122" t="inlineStr">
        <is>
          <t>1. The HU detects the USB storage device.
2. The Media page is displayed.
3. The Source Tab is displayed.
4. Media scanning is initiated after selecting the USB source.
5. The corrupted media file is displayed in the media file list.
6. The HU displays a popup with ID PU0024 when playback fails.</t>
        </is>
      </c>
      <c r="N12" s="103" t="inlineStr">
        <is>
          <t>CFTS025-4876524
Pop Up List HMI R1 SR24 Post 2A (Dec 15, 2023) - PU0024</t>
        </is>
      </c>
      <c r="O12" s="104" t="inlineStr">
        <is>
          <t>NEW</t>
        </is>
      </c>
      <c r="P12" s="140" t="inlineStr">
        <is>
          <t>P1</t>
        </is>
      </c>
      <c r="Q12" s="76" t="n"/>
      <c r="R12" s="104" t="inlineStr">
        <is>
          <t>負向測試 (Negative / Invalid)</t>
        </is>
      </c>
      <c r="S12" s="104" t="inlineStr">
        <is>
          <t>NA</t>
        </is>
      </c>
      <c r="T12" s="104" t="n">
        <v>1</v>
      </c>
      <c r="U12" s="104" t="n">
        <v>1</v>
      </c>
      <c r="V12" s="104" t="n">
        <v>1</v>
      </c>
      <c r="W12" s="104" t="n">
        <v>1</v>
      </c>
      <c r="X12" s="104" t="n">
        <v>1</v>
      </c>
      <c r="Y12" s="109" t="n">
        <v>1</v>
      </c>
      <c r="Z12" s="104" t="n">
        <v>1</v>
      </c>
      <c r="AA12" s="104" t="inlineStr">
        <is>
          <t>Pei</t>
        </is>
      </c>
      <c r="AB12" s="104" t="n"/>
      <c r="AC12" s="104" t="n"/>
      <c r="AD12" s="104" t="n"/>
      <c r="AE12" s="104" t="n"/>
      <c r="AF12" s="104" t="n"/>
      <c r="AG12" s="104" t="n"/>
      <c r="AH12" s="104" t="n"/>
    </row>
    <row r="13" ht="141.5" customHeight="1">
      <c r="A13" s="110" t="n"/>
      <c r="B13" s="104">
        <f>IF(ISBLANK($D13),"",ROW()-9)</f>
        <v/>
      </c>
      <c r="C13" s="119" t="inlineStr">
        <is>
          <t>NRL-132738</t>
        </is>
      </c>
      <c r="D13" s="106" t="inlineStr">
        <is>
          <t>SWE1-PLA-002</t>
        </is>
      </c>
      <c r="E13" s="104" t="n"/>
      <c r="F13" s="107" t="inlineStr">
        <is>
          <t>NR1L-Player-004</t>
        </is>
      </c>
      <c r="G13" s="104" t="inlineStr">
        <is>
          <t>Player</t>
        </is>
      </c>
      <c r="H13" s="104" t="inlineStr">
        <is>
          <t>Error Handling</t>
        </is>
      </c>
      <c r="I13" s="123" t="inlineStr">
        <is>
          <t>When “USB Device File Read Error” occurs, the HU shall display Pop Up ID PU0024 (or otherwise indicate an error according to HMI requirements).
(See the HMI Pup Up List reference document for Pup Up ID.) while the error exists.
(Popup PU0024 message text equals "File reading error")</t>
        </is>
      </c>
      <c r="J13" s="111" t="n"/>
      <c r="K13" s="141" t="inlineStr">
        <is>
          <t>1. An USB storage device contains at least one corrupted audio file that is visible in the media list but cannot be decoded during playback.</t>
        </is>
      </c>
      <c r="L13" s="125" t="inlineStr">
        <is>
          <t xml:space="preserve">1. Insert the prepared USB storage device into the HU USB port.
2. Press "Media" icon on menu bar.
3. Select "Source" tab.
4. Select "USB" button as the active source.
5. Select the corrupted media file from the media file list to start playback.
6. Check the popup message displayed during playback failure.
</t>
        </is>
      </c>
      <c r="M13" s="122" t="inlineStr">
        <is>
          <t>1. The HU detects the USB storage device.
2. The Media page is displayed.
3. The Source Tab is displayed.
4. Media scanning is initiated after selecting the USB source.
5. The corrupted media file is displayed in the media file list.
6. The HU displays a popup with ID PU0024, and the message text equals "File reading error".</t>
        </is>
      </c>
      <c r="N13" s="103" t="inlineStr">
        <is>
          <t>CFTS025-4876524
Pop Up List HMI R1 SR24 Post 2A (Dec 15, 2023) - PU0024</t>
        </is>
      </c>
      <c r="O13" s="104" t="inlineStr">
        <is>
          <t>NEW</t>
        </is>
      </c>
      <c r="P13" s="104" t="inlineStr">
        <is>
          <t>P0</t>
        </is>
      </c>
      <c r="Q13" s="76" t="n"/>
      <c r="R13" s="104" t="inlineStr">
        <is>
          <t>負向測試 (Negative / Invalid)</t>
        </is>
      </c>
      <c r="S13" s="104" t="inlineStr">
        <is>
          <t>NA</t>
        </is>
      </c>
      <c r="T13" s="104" t="n">
        <v>1</v>
      </c>
      <c r="U13" s="104" t="n">
        <v>1</v>
      </c>
      <c r="V13" s="104" t="n">
        <v>1</v>
      </c>
      <c r="W13" s="104" t="n">
        <v>1</v>
      </c>
      <c r="X13" s="104" t="n">
        <v>1</v>
      </c>
      <c r="Y13" s="109" t="n">
        <v>1</v>
      </c>
      <c r="Z13" s="104" t="n">
        <v>1</v>
      </c>
      <c r="AA13" s="104" t="inlineStr">
        <is>
          <t>Pei</t>
        </is>
      </c>
      <c r="AB13" s="104" t="n"/>
      <c r="AC13" s="104" t="n"/>
      <c r="AD13" s="104" t="n"/>
      <c r="AE13" s="104" t="n"/>
      <c r="AF13" s="104" t="n"/>
      <c r="AG13" s="104" t="n"/>
      <c r="AH13" s="104" t="n"/>
    </row>
    <row r="14" ht="139.75" customHeight="1">
      <c r="A14" s="110" t="n"/>
      <c r="B14" s="104">
        <f>IF(ISBLANK($D14),"",ROW()-9)</f>
        <v/>
      </c>
      <c r="C14" s="119" t="inlineStr">
        <is>
          <t>NRL-132739</t>
        </is>
      </c>
      <c r="D14" s="106" t="inlineStr">
        <is>
          <t>SWE1-PLA-003</t>
        </is>
      </c>
      <c r="E14" s="105" t="n"/>
      <c r="F14" s="107" t="inlineStr">
        <is>
          <t>NR1L-Player-005</t>
        </is>
      </c>
      <c r="G14" s="104" t="inlineStr">
        <is>
          <t>Player</t>
        </is>
      </c>
      <c r="H14" s="104" t="inlineStr">
        <is>
          <t>Error Handling</t>
        </is>
      </c>
      <c r="I14" s="123" t="inlineStr">
        <is>
          <t>The HU shall treat any error not covered above as a Generic Error and shall display Pop Up ID PU0005 (or otherwise indicate an error according to HMI requirements) while the error exists.
 (See the HMI Pup Up List reference document for Pup Up ID.)
(Generic read error condition → PU0005 popup display)</t>
        </is>
      </c>
      <c r="J14" s="108" t="n"/>
      <c r="K14" s="141" t="inlineStr">
        <is>
          <t>1. An USB storage device contains media data with file system inconsistencies that may cause read errors during media access, but not classified as:
- No Supported Files Found Error
- USB Device File Read Error</t>
        </is>
      </c>
      <c r="L14" s="125" t="inlineStr">
        <is>
          <t>1. Insert the prepared USB storage device into the HU USB port.
2. Press "Media" icon on menu bar.
3. Select "Source" tab.
4. Select "USB" as the active source and attempt to access the media file that triggers the read error.
5. Check the system response when the read error occurs.</t>
        </is>
      </c>
      <c r="M14" s="122" t="inlineStr">
        <is>
          <t>1. The HU detects the USB storage device.
2. The Media page is displayed.
3. The Source Tab is displayed.
4. A read error condition is triggered during media access.
5. The HU displays a popup with ID PU0005 when a read error occurs during media access.</t>
        </is>
      </c>
      <c r="N14" s="103" t="inlineStr">
        <is>
          <t>CFTS025-4876527
Pop Up List HMI R1 SR24 Post 2A (Dec 15, 2023) - PU0005</t>
        </is>
      </c>
      <c r="O14" s="109" t="inlineStr">
        <is>
          <t>NEW</t>
        </is>
      </c>
      <c r="P14" s="140" t="inlineStr">
        <is>
          <t>P1</t>
        </is>
      </c>
      <c r="Q14" s="76" t="n"/>
      <c r="R14" s="104" t="inlineStr">
        <is>
          <t>負向測試 (Negative / Invalid)</t>
        </is>
      </c>
      <c r="S14" s="104" t="inlineStr">
        <is>
          <t>NA</t>
        </is>
      </c>
      <c r="T14" s="104" t="n">
        <v>1</v>
      </c>
      <c r="U14" s="104" t="n">
        <v>1</v>
      </c>
      <c r="V14" s="104" t="n">
        <v>1</v>
      </c>
      <c r="W14" s="104" t="n">
        <v>1</v>
      </c>
      <c r="X14" s="104" t="n">
        <v>1</v>
      </c>
      <c r="Y14" s="109" t="n">
        <v>1</v>
      </c>
      <c r="Z14" s="104" t="n">
        <v>1</v>
      </c>
      <c r="AA14" s="104" t="inlineStr">
        <is>
          <t>Pei</t>
        </is>
      </c>
      <c r="AB14" s="97" t="n"/>
      <c r="AC14" s="97" t="n"/>
      <c r="AD14" s="97" t="n"/>
      <c r="AE14" s="97" t="n"/>
      <c r="AF14" s="97" t="n"/>
      <c r="AG14" s="97" t="n"/>
      <c r="AH14" s="141" t="inlineStr">
        <is>
          <t>Example method to prepare the test device (one possible method):
1. Copy a large media file to the storage device
2. Interrupt the transfer process (e.g., unplug before completion)
3. Reconnect the device to create file system inconsistencies</t>
        </is>
      </c>
    </row>
    <row r="15" ht="137.5" customHeight="1">
      <c r="A15" s="110" t="n"/>
      <c r="B15" s="104">
        <f>IF(ISBLANK($D15),"",ROW()-9)</f>
        <v/>
      </c>
      <c r="C15" s="119" t="inlineStr">
        <is>
          <t>NRL-132739</t>
        </is>
      </c>
      <c r="D15" s="106" t="inlineStr">
        <is>
          <t>SWE1-PLA-003</t>
        </is>
      </c>
      <c r="E15" s="105" t="n"/>
      <c r="F15" s="107" t="inlineStr">
        <is>
          <t>NR1L-Player-006</t>
        </is>
      </c>
      <c r="G15" s="104" t="inlineStr">
        <is>
          <t>Player</t>
        </is>
      </c>
      <c r="H15" s="104" t="inlineStr">
        <is>
          <t>Error Handling</t>
        </is>
      </c>
      <c r="I15" s="123" t="inlineStr">
        <is>
          <t>The HU shall treat any error not covered above as a Generic Error and shall display Pop Up ID PU0005 (or otherwise indicate an error according to HMI requirements) while the error exists.
 (See the HMI Pup Up List reference document for Pup Up ID.)
(PU0005 popup message format → "(Device Name) error")</t>
        </is>
      </c>
      <c r="J15" s="108" t="n"/>
      <c r="K15" s="141" t="inlineStr">
        <is>
          <t>1. An USB storage device contains media data with file system inconsistencies that may cause read errors during media access, but not classified as:
- No Supported Files Found Error
- USB Device File Read Error</t>
        </is>
      </c>
      <c r="L15" s="125" t="inlineStr">
        <is>
          <t>1. Insert the prepared USB storage device into the HU USB port.
2. Press "Media" icon on menu bar.
3. Select "Source" tab.
4. Select "USB" as the active source and attempt to access the media file that triggers the read error.
5. Check the popup message when the read error occurs.</t>
        </is>
      </c>
      <c r="M15" s="122" t="inlineStr">
        <is>
          <t>1. The HU detects the USB storage device.
2. The Media page is displayed.
3. The Source Tab is displayed.
4. A read error condition is triggered during media access.
5. The HU displays a popup with ID PU0005, and the message text equals "(Device Name) error".</t>
        </is>
      </c>
      <c r="N15" s="103" t="inlineStr">
        <is>
          <t>CFTS025-4876527
Pop Up List HMI R1 SR24 Post 2A (Dec 15, 2023) - PU0005</t>
        </is>
      </c>
      <c r="O15" s="109" t="inlineStr">
        <is>
          <t>NEW</t>
        </is>
      </c>
      <c r="P15" s="104" t="inlineStr">
        <is>
          <t>P0</t>
        </is>
      </c>
      <c r="Q15" s="76" t="n"/>
      <c r="R15" s="104" t="inlineStr">
        <is>
          <t>負向測試 (Negative / Invalid)</t>
        </is>
      </c>
      <c r="S15" s="104" t="inlineStr">
        <is>
          <t>NA</t>
        </is>
      </c>
      <c r="T15" s="104" t="n">
        <v>1</v>
      </c>
      <c r="U15" s="104" t="n">
        <v>1</v>
      </c>
      <c r="V15" s="104" t="n">
        <v>1</v>
      </c>
      <c r="W15" s="104" t="n">
        <v>1</v>
      </c>
      <c r="X15" s="104" t="n">
        <v>1</v>
      </c>
      <c r="Y15" s="109" t="n">
        <v>1</v>
      </c>
      <c r="Z15" s="104" t="n">
        <v>1</v>
      </c>
      <c r="AA15" s="104" t="inlineStr">
        <is>
          <t>Pei</t>
        </is>
      </c>
      <c r="AB15" s="97" t="n"/>
      <c r="AC15" s="97" t="n"/>
      <c r="AD15" s="97" t="n"/>
      <c r="AE15" s="97" t="n"/>
      <c r="AF15" s="97" t="n"/>
      <c r="AG15" s="97" t="n"/>
      <c r="AH15" s="141" t="inlineStr">
        <is>
          <t>Example method to prepare the test device (one possible method):
1. Copy a large media file to the storage device
2. Interrupt the transfer process (e.g., unplug before completion)
3. Reconnect the device to create file system inconsistencies</t>
        </is>
      </c>
    </row>
    <row r="16" ht="136.75" customHeight="1">
      <c r="A16" s="110" t="n"/>
      <c r="B16" s="140">
        <f>IF(ISBLANK($D16),"",ROW()-9)</f>
        <v/>
      </c>
      <c r="C16" s="119" t="inlineStr">
        <is>
          <t>NRL-132739</t>
        </is>
      </c>
      <c r="D16" s="143" t="inlineStr">
        <is>
          <t>SWE1-PLA-003</t>
        </is>
      </c>
      <c r="E16" s="105" t="n"/>
      <c r="F16" s="140" t="inlineStr">
        <is>
          <t>NR1L-Player-007</t>
        </is>
      </c>
      <c r="G16" s="140" t="inlineStr">
        <is>
          <t>Player</t>
        </is>
      </c>
      <c r="H16" s="140" t="inlineStr">
        <is>
          <t>Error Handling</t>
        </is>
      </c>
      <c r="I16" s="145" t="inlineStr">
        <is>
          <t>The HU shall treat any error not covered above as a Generic Error and shall display Pop Up ID PU0005 (or otherwise indicate an error according to HMI requirements) while the error exists.
 (See the HMI Pup Up List reference document for Pup Up ID.)
(PU0005 popup persistence while error exists)</t>
        </is>
      </c>
      <c r="J16" s="108" t="n"/>
      <c r="K16" s="141" t="inlineStr">
        <is>
          <t>1. An USB storage device contains media data with file system inconsistencies that may cause read errors during media access, but not classified as:
- No Supported Files Found Error
- USB Device File Read Error</t>
        </is>
      </c>
      <c r="L16" s="144" t="inlineStr">
        <is>
          <t>1. Insert the prepared USB storage device into the HU USB port.
2. Press "Media" icon on the menu bar.
3. Select "Source" tab.
4. Select "USB" as the active source and attempt to access the media file that triggers the read error.
5. Check that the popup remains displayed during the read error.</t>
        </is>
      </c>
      <c r="M16" s="145" t="inlineStr">
        <is>
          <t>1. The HU detects the USB storage device.
2. The Media page is displayed.
3. The Source Tab is displayed.
4. A read error condition is triggered during media access.
5. The popup with ID PU0005 remains displayed while the read error condition persists.</t>
        </is>
      </c>
      <c r="N16" s="146" t="inlineStr">
        <is>
          <t>CFTS025-4876527
Pop Up List HMI R1 SR24 Post 2A (Dec 15, 2023) - PU0005</t>
        </is>
      </c>
      <c r="O16" s="142" t="inlineStr">
        <is>
          <t>NEW</t>
        </is>
      </c>
      <c r="P16" s="140" t="inlineStr">
        <is>
          <t>P1</t>
        </is>
      </c>
      <c r="Q16" s="76" t="n"/>
      <c r="R16" s="140" t="inlineStr">
        <is>
          <t>負向測試 (Negative / Invalid)</t>
        </is>
      </c>
      <c r="S16" s="140" t="inlineStr">
        <is>
          <t>NA</t>
        </is>
      </c>
      <c r="T16" s="140" t="n">
        <v>1</v>
      </c>
      <c r="U16" s="140" t="n">
        <v>1</v>
      </c>
      <c r="V16" s="140" t="n">
        <v>1</v>
      </c>
      <c r="W16" s="140" t="n">
        <v>1</v>
      </c>
      <c r="X16" s="140" t="n">
        <v>1</v>
      </c>
      <c r="Y16" s="142" t="n">
        <v>1</v>
      </c>
      <c r="Z16" s="140" t="n">
        <v>1</v>
      </c>
      <c r="AA16" s="140" t="inlineStr">
        <is>
          <t>Erin</t>
        </is>
      </c>
      <c r="AB16" s="97" t="n"/>
      <c r="AC16" s="97" t="n"/>
      <c r="AD16" s="97" t="n"/>
      <c r="AE16" s="97" t="n"/>
      <c r="AF16" s="97" t="n"/>
      <c r="AG16" s="97" t="n"/>
      <c r="AH16" s="141" t="inlineStr">
        <is>
          <t>Example method to prepare the test device (one possible method):
1. Copy a large media file to the storage device
2. Interrupt the transfer process (e.g., unplug before completion)
3. Reconnect the device to create file system inconsistencies</t>
        </is>
      </c>
    </row>
    <row r="17" ht="153.5" customHeight="1">
      <c r="A17" s="110" t="n"/>
      <c r="B17" s="140">
        <f>IF(ISBLANK($D17),"",ROW()-9)</f>
        <v/>
      </c>
      <c r="C17" s="119" t="inlineStr">
        <is>
          <t>NRL-132740</t>
        </is>
      </c>
      <c r="D17" s="143" t="inlineStr">
        <is>
          <t>SWE1-PLA-004</t>
        </is>
      </c>
      <c r="E17" s="147" t="n"/>
      <c r="F17" s="140" t="inlineStr">
        <is>
          <t>NR1L-Player-008</t>
        </is>
      </c>
      <c r="G17" s="140" t="inlineStr">
        <is>
          <t>Player</t>
        </is>
      </c>
      <c r="H17" s="140" t="inlineStr">
        <is>
          <t>AUX</t>
        </is>
      </c>
      <c r="I17" s="145" t="inlineStr">
        <is>
          <t>The HU AUX source does not have any command &amp; control capability.
PC1.3) If playing an AUX device the only controls available are the Source Tab and Audio Tab, all other buttons will be greyed out. The tune knob will not be functional either.
(AUX source active → Source Tab and Audio Tab are accessible)</t>
        </is>
      </c>
      <c r="J17" s="108" t="n"/>
      <c r="K17" s="141" t="n"/>
      <c r="L17" s="144" t="inlineStr">
        <is>
          <t>1. Insert an AUX device into the HU AUX input.
2. Press "Media" icon on menu bar.
3. Select "Source" tab.
4. Select "AUX" as the active source.
5. Select "Source" tab to verify accessibility
6. Select "Audio" tab to verify accessibility</t>
        </is>
      </c>
      <c r="M17" s="148" t="inlineStr">
        <is>
          <t xml:space="preserve">1. The HU detects the connected AUX device.
2. The Media page is displayed.
3. The Source Tab is displayed.
4. The AUX source is activated.
5. The Source Tab is accessible and the Source page is displayed  
6. The Audio Tab is accessible and the Audio page is displayed </t>
        </is>
      </c>
      <c r="N17" s="146" t="inlineStr">
        <is>
          <t>CFTS025-4876562
Media HMI Logic and Flow R1 SR24 Post 2A (July 25th, 2023) - PC1.3</t>
        </is>
      </c>
      <c r="O17" s="142" t="inlineStr">
        <is>
          <t>NEW</t>
        </is>
      </c>
      <c r="P17" s="140" t="inlineStr">
        <is>
          <t>P0</t>
        </is>
      </c>
      <c r="Q17" s="76" t="n"/>
      <c r="R17" s="140" t="inlineStr">
        <is>
          <t>功能測試 (Functional based ; no specific technique)</t>
        </is>
      </c>
      <c r="S17" s="140" t="inlineStr">
        <is>
          <t>NA</t>
        </is>
      </c>
      <c r="T17" s="140" t="n">
        <v>1</v>
      </c>
      <c r="U17" s="140" t="n">
        <v>1</v>
      </c>
      <c r="V17" s="140" t="n">
        <v>1</v>
      </c>
      <c r="W17" s="140" t="n">
        <v>1</v>
      </c>
      <c r="X17" s="140" t="n">
        <v>1</v>
      </c>
      <c r="Y17" s="142" t="n">
        <v>1</v>
      </c>
      <c r="Z17" s="140" t="n">
        <v>1</v>
      </c>
      <c r="AA17" s="140" t="inlineStr">
        <is>
          <t>Erin</t>
        </is>
      </c>
      <c r="AB17" s="97" t="n"/>
      <c r="AC17" s="97" t="n"/>
      <c r="AD17" s="97" t="n"/>
      <c r="AE17" s="97" t="n"/>
      <c r="AF17" s="97" t="n"/>
      <c r="AG17" s="97" t="n"/>
      <c r="AH17" s="141" t="n"/>
    </row>
    <row r="18" ht="153.5" customHeight="1">
      <c r="A18" s="110" t="n"/>
      <c r="B18" s="140">
        <f>IF(ISBLANK($D18),"",ROW()-9)</f>
        <v/>
      </c>
      <c r="C18" s="119" t="inlineStr">
        <is>
          <t>NRL-132740</t>
        </is>
      </c>
      <c r="D18" s="143" t="inlineStr">
        <is>
          <t>SWE1-PLA-004</t>
        </is>
      </c>
      <c r="E18" s="147" t="n"/>
      <c r="F18" s="140" t="inlineStr">
        <is>
          <t>NR1L-Player-009</t>
        </is>
      </c>
      <c r="G18" s="140" t="inlineStr">
        <is>
          <t>Player</t>
        </is>
      </c>
      <c r="H18" s="140" t="inlineStr">
        <is>
          <t>AUX</t>
        </is>
      </c>
      <c r="I18" s="145" t="inlineStr">
        <is>
          <t>The HU AUX source does not have any command &amp; control capability.
PC1.3) If playing an AUX device the only controls available are the Source Tab and Audio Tab, all other buttons will be greyed out. The tune knob will not be functional either.
(AUX source active → Browse Tab is disabled)</t>
        </is>
      </c>
      <c r="J18" s="108" t="n"/>
      <c r="K18" s="141" t="n"/>
      <c r="L18" s="144" t="inlineStr">
        <is>
          <t>1. Insert an AUX device into the HU AUX input.
2. Press "Media" icon on menu bar.
3. Select "Source" tab.
4. Select "AUX" as the active source.
5. Select "Browse" tab to verify accessibility.</t>
        </is>
      </c>
      <c r="M18" s="148" t="inlineStr">
        <is>
          <t xml:space="preserve">1. The HU detects the connected AUX device.
2. The Media page is displayed.
3. The Source Tab is displayed.
4. The AUX source is activated.
5. The Browse Tab is disabled and cannot be entered.
</t>
        </is>
      </c>
      <c r="N18" s="146" t="inlineStr">
        <is>
          <t>CFTS025-4876562
Media HMI Logic and Flow R1 SR24 Post 2A (July 25th, 2023) - PC1.3</t>
        </is>
      </c>
      <c r="O18" s="142" t="inlineStr">
        <is>
          <t>NEW</t>
        </is>
      </c>
      <c r="P18" s="140" t="inlineStr">
        <is>
          <t>P0</t>
        </is>
      </c>
      <c r="Q18" s="76" t="n"/>
      <c r="R18" s="140" t="inlineStr">
        <is>
          <t>功能測試 (Functional based ; no specific technique)</t>
        </is>
      </c>
      <c r="S18" s="140" t="inlineStr">
        <is>
          <t>NA</t>
        </is>
      </c>
      <c r="T18" s="140" t="n">
        <v>1</v>
      </c>
      <c r="U18" s="140" t="n">
        <v>1</v>
      </c>
      <c r="V18" s="140" t="n">
        <v>1</v>
      </c>
      <c r="W18" s="140" t="n">
        <v>1</v>
      </c>
      <c r="X18" s="140" t="n">
        <v>1</v>
      </c>
      <c r="Y18" s="142" t="n">
        <v>1</v>
      </c>
      <c r="Z18" s="140" t="n">
        <v>1</v>
      </c>
      <c r="AA18" s="140" t="inlineStr">
        <is>
          <t>Erin</t>
        </is>
      </c>
      <c r="AB18" s="97" t="n"/>
      <c r="AC18" s="97" t="n"/>
      <c r="AD18" s="97" t="n"/>
      <c r="AE18" s="97" t="n"/>
      <c r="AF18" s="97" t="n"/>
      <c r="AG18" s="97" t="n"/>
      <c r="AH18" s="141" t="n"/>
    </row>
    <row r="19" ht="184.75" customHeight="1"/>
    <row r="20" ht="188.5" customHeight="1"/>
    <row r="21" ht="196" customHeight="1"/>
    <row r="22" ht="210" customHeight="1"/>
    <row r="23" ht="196" customHeight="1"/>
    <row r="24" ht="125.5" customHeight="1"/>
    <row r="25" ht="170.5" customHeight="1"/>
    <row r="26" ht="154.75" customHeight="1"/>
    <row r="27" ht="150" customHeight="1"/>
    <row r="28" ht="140.5" customHeight="1"/>
    <row r="29" ht="192" customHeight="1"/>
    <row r="30" ht="192" customHeight="1"/>
    <row r="31" ht="169.25" customHeight="1"/>
    <row r="32" ht="219.5" customHeight="1"/>
    <row r="33" ht="210" customHeight="1"/>
    <row r="34" ht="210" customHeight="1"/>
    <row r="35" ht="224" customHeight="1"/>
    <row r="36" ht="229.75" customHeight="1"/>
    <row r="37" ht="212.5" customHeight="1"/>
    <row r="38" ht="126" customHeight="1"/>
    <row r="39" ht="140" customHeight="1"/>
    <row r="40" ht="154" customHeight="1"/>
    <row r="41" ht="98" customHeight="1"/>
    <row r="42" ht="98" customHeight="1"/>
    <row r="43" ht="168" customHeight="1"/>
    <row r="44" ht="168" customHeight="1"/>
    <row r="45" ht="182" customHeight="1"/>
    <row r="46" ht="182" customHeight="1"/>
    <row r="47" ht="182" customHeight="1"/>
    <row r="48" ht="182" customHeight="1"/>
    <row r="49" ht="182" customHeight="1"/>
    <row r="50" ht="182" customHeight="1"/>
    <row r="51" ht="182" customHeight="1"/>
    <row r="52" ht="126" customHeight="1"/>
    <row r="53" ht="154" customHeight="1"/>
    <row r="54" ht="98" customHeight="1"/>
    <row r="55" ht="168" customHeight="1"/>
    <row r="56" ht="182" customHeight="1"/>
    <row r="57" ht="182" customHeight="1"/>
    <row r="58" ht="196" customHeight="1"/>
    <row r="59" ht="196" customHeight="1"/>
    <row r="60" ht="210" customHeight="1"/>
    <row r="61" ht="182" customHeight="1"/>
    <row r="62" ht="196" customHeight="1"/>
    <row r="63" ht="196" customHeight="1"/>
    <row r="64" ht="196" customHeight="1"/>
    <row r="65" ht="182" customHeight="1"/>
    <row r="66" ht="140" customHeight="1"/>
    <row r="67" ht="84" customHeight="1"/>
    <row r="68" ht="126" customHeight="1"/>
    <row r="69" ht="168" customHeight="1"/>
    <row r="70" ht="140" customHeight="1"/>
    <row r="71" ht="126" customHeight="1"/>
    <row r="72" ht="112" customHeight="1"/>
    <row r="73" ht="126" customHeight="1"/>
    <row r="74" ht="140" customHeight="1"/>
    <row r="75" ht="154" customHeight="1"/>
    <row r="76" ht="332" customHeight="1"/>
    <row r="77" ht="319" customHeight="1"/>
    <row r="78" ht="319" customHeight="1"/>
    <row r="79" ht="319" customHeight="1"/>
    <row r="80" ht="238" customHeight="1"/>
    <row r="81" ht="238" customHeight="1"/>
    <row r="82" ht="238" customHeight="1"/>
    <row r="83" ht="238" customHeight="1"/>
    <row r="84" ht="224" customHeight="1"/>
    <row r="85" ht="140" customHeight="1"/>
    <row r="86" ht="140" customHeight="1"/>
    <row r="87" ht="210" customHeight="1"/>
    <row r="88" ht="140" customHeight="1"/>
    <row r="89" ht="168" customFormat="1" customHeight="1" s="153"/>
    <row r="90" ht="199" customHeight="1"/>
    <row r="91" ht="210" customHeight="1"/>
    <row r="92" ht="168" customHeight="1"/>
    <row r="93" ht="168" customHeight="1"/>
    <row r="94" ht="210" customHeight="1"/>
    <row r="95" ht="210" customHeight="1"/>
    <row r="96" ht="196" customHeight="1"/>
    <row r="97" ht="238" customHeight="1"/>
    <row r="98" ht="140" customHeight="1"/>
    <row r="99" ht="140" customHeight="1"/>
    <row r="100" ht="168" customHeight="1"/>
    <row r="101" ht="154" customHeight="1"/>
    <row r="102" ht="196" customHeight="1"/>
    <row r="103" ht="126" customHeight="1"/>
    <row r="104" ht="154" customHeight="1"/>
    <row r="105" ht="154" customHeight="1"/>
    <row r="106" ht="154" customHeight="1"/>
    <row r="107" ht="168" customHeight="1"/>
    <row r="108" ht="140" customHeight="1"/>
    <row r="109" ht="168" customHeight="1"/>
    <row r="110" ht="140" customHeight="1"/>
    <row r="111" ht="168" customHeight="1"/>
    <row r="112" ht="140" customHeight="1"/>
    <row r="113" ht="182" customHeight="1"/>
    <row r="114" ht="140" customHeight="1"/>
    <row r="115" ht="140" customHeight="1"/>
    <row r="116" ht="182" customHeight="1"/>
    <row r="117" ht="168" customHeight="1"/>
    <row r="118" ht="196" customFormat="1" customHeight="1" s="153"/>
    <row r="119" ht="213.5" customHeight="1"/>
    <row r="120" ht="168" customHeight="1"/>
    <row r="121" ht="241" customHeight="1"/>
    <row r="122" ht="255" customHeight="1"/>
    <row r="123" ht="112" customHeight="1"/>
    <row r="124" ht="126" customHeight="1"/>
    <row r="125" ht="224" customHeight="1"/>
    <row r="126" ht="238" customHeight="1"/>
    <row r="127" ht="98" customHeight="1"/>
    <row r="128" ht="112" customHeight="1"/>
    <row r="129" ht="168" customHeight="1"/>
    <row r="130" ht="210" customHeight="1"/>
    <row r="131" ht="224" customHeight="1"/>
    <row r="132" ht="224" customHeight="1"/>
    <row r="133" ht="168" customHeight="1"/>
    <row r="134" ht="168" customHeight="1"/>
    <row r="135" ht="182" customHeight="1"/>
    <row r="136" ht="168" customHeight="1"/>
    <row r="137" ht="182" customHeight="1"/>
    <row r="138" ht="168" customHeight="1"/>
    <row r="139" ht="168" customHeight="1"/>
    <row r="140" ht="196" customHeight="1"/>
    <row r="141" ht="168" customHeight="1"/>
    <row r="142" ht="168" customHeight="1"/>
    <row r="143" ht="140" customHeight="1"/>
    <row r="144" ht="154" customHeight="1"/>
    <row r="145" ht="182" customHeight="1"/>
    <row r="146" ht="112" customHeight="1"/>
    <row r="147" ht="126" customHeight="1"/>
    <row r="148" ht="112" customHeight="1"/>
    <row r="149" ht="154" customHeight="1"/>
    <row r="150" ht="140" customHeight="1"/>
    <row r="151" ht="126" customHeight="1"/>
    <row r="152" ht="126" customHeight="1"/>
    <row r="153" ht="126" customHeight="1"/>
    <row r="154" ht="126" customHeight="1"/>
    <row r="155" ht="126" customHeight="1"/>
    <row r="156" ht="154" customHeight="1"/>
    <row r="157" ht="140" customHeight="1"/>
    <row r="158" ht="154" customHeight="1"/>
    <row r="159" ht="84" customHeight="1"/>
    <row r="160" ht="112" customHeight="1"/>
    <row r="161" ht="182" customHeight="1"/>
    <row r="162" ht="98" customHeight="1"/>
    <row r="163" ht="98" customHeight="1"/>
    <row r="164" ht="224" customHeight="1"/>
    <row r="165" ht="210" customHeight="1"/>
    <row r="166" ht="224" customHeight="1"/>
    <row r="167" ht="14" customHeight="1"/>
    <row r="168" ht="14" customHeight="1"/>
    <row r="169" ht="14" customHeight="1"/>
    <row r="170" ht="14" customHeight="1"/>
    <row r="171" ht="14" customHeight="1"/>
    <row r="172" ht="14" customHeight="1"/>
    <row r="173" ht="14" customHeight="1"/>
    <row r="174" ht="14" customHeight="1"/>
    <row r="175" ht="14" customHeight="1"/>
    <row r="176" ht="14" customHeight="1"/>
    <row r="177" ht="14" customHeight="1"/>
    <row r="178" ht="14" customHeight="1"/>
    <row r="179" ht="14" customHeight="1"/>
    <row r="180" ht="14" customHeight="1"/>
    <row r="181" ht="14" customHeight="1"/>
    <row r="182" ht="14" customHeight="1"/>
    <row r="183" ht="14" customHeight="1"/>
    <row r="184" ht="14" customHeight="1"/>
    <row r="185" ht="14" customHeight="1"/>
    <row r="186" ht="14" customHeight="1"/>
    <row r="187" ht="14" customHeight="1"/>
    <row r="188" ht="14" customHeight="1"/>
    <row r="189" ht="14" customHeight="1"/>
    <row r="190" ht="14" customHeight="1"/>
    <row r="191" ht="14" customHeight="1"/>
    <row r="192" ht="14" customHeight="1"/>
    <row r="193" ht="14" customHeight="1"/>
    <row r="194" ht="14" customHeight="1"/>
    <row r="195" ht="14" customHeight="1"/>
    <row r="196" ht="14" customHeight="1"/>
    <row r="197" ht="14" customHeight="1"/>
    <row r="198" ht="14" customHeight="1"/>
    <row r="199" ht="14" customHeight="1"/>
    <row r="200" ht="14" customHeight="1"/>
    <row r="201" ht="14" customHeight="1"/>
    <row r="202" ht="14" customHeight="1"/>
    <row r="203" ht="14" customHeight="1"/>
    <row r="204" ht="14" customHeight="1"/>
    <row r="205" ht="14" customHeight="1"/>
    <row r="206" ht="14" customHeight="1"/>
    <row r="207" ht="14" customHeight="1"/>
    <row r="208" ht="14" customHeight="1"/>
    <row r="209" ht="14" customHeight="1"/>
    <row r="210" ht="14" customHeight="1"/>
    <row r="211" ht="14" customHeight="1"/>
    <row r="212" ht="14" customHeight="1"/>
    <row r="213" ht="14" customHeight="1"/>
    <row r="214" ht="14" customHeight="1"/>
    <row r="215" ht="14" customHeight="1"/>
    <row r="216" ht="14" customHeight="1"/>
    <row r="217" ht="14" customHeight="1"/>
    <row r="218" ht="14" customHeight="1"/>
    <row r="219" ht="14" customHeight="1"/>
    <row r="220" ht="14" customHeight="1"/>
    <row r="221" ht="14" customHeight="1"/>
    <row r="222" ht="14" customHeight="1"/>
    <row r="223" ht="14" customHeight="1"/>
    <row r="224" ht="14" customHeight="1"/>
    <row r="225" ht="14" customHeight="1"/>
    <row r="226" ht="14" customHeight="1"/>
    <row r="227" ht="14" customHeight="1"/>
    <row r="228" ht="14" customHeight="1"/>
    <row r="229" ht="14" customHeight="1"/>
    <row r="230" ht="14" customHeight="1"/>
    <row r="231" ht="14" customHeight="1"/>
    <row r="232" ht="14" customHeight="1"/>
    <row r="233" ht="14" customHeight="1"/>
    <row r="234" ht="14" customHeight="1"/>
    <row r="235" ht="14" customHeight="1"/>
    <row r="236" ht="14" customHeight="1"/>
    <row r="237" ht="14" customHeight="1"/>
    <row r="238" ht="14" customHeight="1"/>
    <row r="239" ht="14" customHeight="1"/>
    <row r="240" ht="14" customHeight="1"/>
    <row r="241" ht="14" customHeight="1"/>
    <row r="242" ht="14" customHeight="1"/>
    <row r="243" ht="14" customHeight="1"/>
    <row r="244" ht="14" customHeight="1"/>
    <row r="245" ht="14" customHeight="1"/>
    <row r="246" ht="14" customHeight="1"/>
    <row r="247" ht="14" customHeight="1"/>
    <row r="248" ht="14" customHeight="1"/>
    <row r="249" ht="14" customHeight="1"/>
    <row r="250" ht="14" customHeight="1"/>
    <row r="251" ht="14" customHeight="1"/>
    <row r="252" ht="14" customHeight="1"/>
    <row r="253" ht="14" customHeight="1"/>
    <row r="254" ht="14" customHeight="1"/>
    <row r="255" ht="14" customHeight="1"/>
    <row r="256" ht="14" customHeight="1"/>
    <row r="257" ht="14" customHeight="1"/>
    <row r="258" ht="14" customHeight="1"/>
    <row r="259" ht="14" customHeight="1"/>
    <row r="260" ht="14" customHeight="1"/>
    <row r="261" ht="14" customHeight="1"/>
    <row r="262" ht="14" customHeight="1"/>
    <row r="263" ht="14" customHeight="1"/>
    <row r="264" ht="14" customHeight="1"/>
    <row r="265" ht="14" customHeight="1"/>
    <row r="266" ht="14" customHeight="1"/>
    <row r="267" ht="14" customHeight="1"/>
    <row r="268" ht="14" customHeight="1"/>
    <row r="269" ht="14" customHeight="1"/>
    <row r="270" ht="14" customHeight="1"/>
    <row r="271" ht="14" customHeight="1"/>
    <row r="272" ht="14" customHeight="1"/>
    <row r="273" ht="14" customHeight="1"/>
    <row r="274" ht="14" customHeight="1"/>
    <row r="275" ht="14" customHeight="1"/>
    <row r="276" ht="14" customHeight="1"/>
    <row r="277" ht="14" customHeight="1"/>
    <row r="278" ht="14" customHeight="1"/>
  </sheetData>
  <mergeCells count="4">
    <mergeCell ref="A1:AE1"/>
    <mergeCell ref="B7:AA7"/>
    <mergeCell ref="AB7:AH7"/>
    <mergeCell ref="T8:Z8"/>
  </mergeCells>
  <dataValidations count="3">
    <dataValidation sqref="AF10:AF13" showDropDown="0" showInputMessage="1" showErrorMessage="1" allowBlank="1" type="list">
      <formula1>"Pass, Fail, Pending,Block,NA"</formula1>
    </dataValidation>
    <dataValidation sqref="P10:P166 Q10:Q278" showDropDown="0" showInputMessage="1" showErrorMessage="1" allowBlank="1" type="list">
      <formula1>"P0,P1,P2,P3"</formula1>
    </dataValidation>
    <dataValidation sqref="T10:X166 Z10:Z166" showDropDown="0" showInputMessage="1" showErrorMessage="1" allowBlank="1" type="list">
      <formula1>"0,1"</formula1>
    </dataValidation>
  </dataValidation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s>
  <pageMargins left="0.7" right="0.7" top="0.75" bottom="0.75" header="0.3" footer="0.3"/>
  <pageSetup orientation="portrait" paperSize="9"/>
  <drawing xmlns:r="http://schemas.openxmlformats.org/officeDocument/2006/relationships" r:id="rId1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1"/>
  <sheetViews>
    <sheetView showGridLines="0" topLeftCell="A4" zoomScale="115" zoomScaleNormal="115" workbookViewId="0">
      <selection activeCell="X15" sqref="X15"/>
    </sheetView>
  </sheetViews>
  <sheetFormatPr baseColWidth="10" defaultColWidth="8.83203125" defaultRowHeight="15"/>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3:F20"/>
  <sheetViews>
    <sheetView topLeftCell="B1" zoomScale="150" zoomScaleNormal="150"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9.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239" min="2" max="2"/>
    <col width="9" customWidth="1" style="239" min="3" max="16384"/>
  </cols>
  <sheetData>
    <row r="1">
      <c r="A1" s="239" t="inlineStr">
        <is>
          <t>25/10/15 QS確認後建議</t>
        </is>
      </c>
    </row>
    <row r="2">
      <c r="A2" s="37" t="n">
        <v>1</v>
      </c>
      <c r="B2" s="239" t="inlineStr">
        <is>
          <t>表單 : 增加中文敘述</t>
        </is>
      </c>
    </row>
    <row r="3">
      <c r="A3" s="37" t="n">
        <v>2</v>
      </c>
      <c r="B3" s="239" t="inlineStr">
        <is>
          <t>表單 : 增加Functional safety 功能安全辨別欄位；為符合公司有ISO26262</t>
        </is>
      </c>
    </row>
    <row r="4">
      <c r="A4" s="37" t="n">
        <v>3</v>
      </c>
      <c r="B4" s="239" t="inlineStr">
        <is>
          <t>表單 : 增加時間紀錄欄位；為符合ASPICE SWE6.BP4 13-50 工作產品特性</t>
        </is>
      </c>
    </row>
    <row r="5">
      <c r="A5" s="37" t="n">
        <v>4</v>
      </c>
      <c r="B5" s="239" t="inlineStr">
        <is>
          <t>表單 : Priority與SWRA分法統一呈現，高High，中Medium，低Low，不適用NA</t>
        </is>
      </c>
    </row>
    <row r="6">
      <c r="A6" s="37" t="n">
        <v>5</v>
      </c>
      <c r="B6" s="239" t="inlineStr">
        <is>
          <t>程序書 : Table3 測試案例設計方法修改為所更新方法 (黃標)</t>
        </is>
      </c>
    </row>
    <row r="7">
      <c r="A7" s="37" t="n">
        <v>6</v>
      </c>
      <c r="B7" s="239" t="inlineStr">
        <is>
          <t>程序書 : 6.2.6.b~e，修改為更新後時間紀錄項描述 (黃標)</t>
        </is>
      </c>
    </row>
    <row r="8">
      <c r="A8" s="37" t="n">
        <v>7</v>
      </c>
      <c r="B8" s="239" t="inlineStr">
        <is>
          <t>程序書 : 刪除i、J、l (黃標黑字刪除線)</t>
        </is>
      </c>
    </row>
    <row r="9">
      <c r="A9" s="37" t="n">
        <v>8</v>
      </c>
      <c r="B9" s="239" t="inlineStr">
        <is>
          <t>程序書 : Table7 測試案例範本更新 (黃標)</t>
        </is>
      </c>
    </row>
    <row r="10">
      <c r="A10" s="37" t="n">
        <v>9</v>
      </c>
      <c r="B10" s="239"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11"/>
  <sheetViews>
    <sheetView workbookViewId="0">
      <selection activeCell="J7" sqref="J7"/>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2026-06-25T13:03:22Z</dcterms:modified>
</cp:coreProperties>
</file>