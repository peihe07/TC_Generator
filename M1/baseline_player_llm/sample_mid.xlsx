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1100" yWindow="600" windowWidth="36880" windowHeight="21000" tabRatio="768"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amp;Result" sheetId="6" state="visible" r:id="rId6"/>
    <sheet xmlns:r="http://schemas.openxmlformats.org/officeDocument/2006/relationships" name="Test Case Framework" sheetId="7" state="visible" r:id="rId7"/>
    <sheet xmlns:r="http://schemas.openxmlformats.org/officeDocument/2006/relationships" name="Reference" sheetId="8" state="hidden" r:id="rId8"/>
    <sheet xmlns:r="http://schemas.openxmlformats.org/officeDocument/2006/relationships" name="QS Suggestion" sheetId="9" state="hidden" r:id="rId9"/>
    <sheet xmlns:r="http://schemas.openxmlformats.org/officeDocument/2006/relationships" name="下拉選單" sheetId="10" state="hidden" r:id="rId10"/>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9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Times New Roman"/>
      <family val="1"/>
      <color theme="1"/>
      <sz val="14"/>
    </font>
    <font>
      <name val="新細明體"/>
      <charset val="136"/>
      <family val="1"/>
      <color theme="1"/>
      <sz val="14"/>
    </font>
    <font>
      <name val="細明體"/>
      <charset val="136"/>
      <family val="1"/>
      <color theme="1"/>
      <sz val="11"/>
    </font>
    <font>
      <name val="新細明體"/>
      <charset val="136"/>
      <family val="1"/>
      <b val="1"/>
      <color theme="1"/>
      <sz val="10"/>
    </font>
    <font>
      <name val="Times New Roman"/>
      <family val="1"/>
      <color theme="3" tint="0.5999938962981048"/>
      <sz val="10"/>
    </font>
    <font>
      <name val="Times New Roman"/>
      <family val="1"/>
      <color rgb="FF0432FF"/>
      <sz val="10"/>
    </font>
    <font>
      <name val="新細明體"/>
      <charset val="136"/>
      <family val="1"/>
      <sz val="16"/>
    </font>
    <font>
      <name val="Calibri"/>
      <family val="2"/>
      <sz val="12"/>
    </font>
    <font>
      <name val="細明體"/>
      <charset val="136"/>
      <family val="1"/>
      <color theme="1"/>
      <sz val="12"/>
    </font>
    <font>
      <name val="微軟正黑體"/>
      <charset val="136"/>
      <family val="1"/>
      <color theme="1"/>
      <sz val="12"/>
    </font>
    <font>
      <name val="Tahoma"/>
      <family val="2"/>
      <b val="1"/>
      <color rgb="FF000000"/>
      <sz val="9"/>
    </font>
    <font>
      <name val="Tahoma"/>
      <family val="2"/>
      <color rgb="FF000000"/>
      <sz val="9"/>
    </font>
    <font>
      <name val="Times New Roman"/>
      <family val="1"/>
      <color rgb="FF1F2937"/>
      <sz val="10"/>
    </font>
    <font>
      <name val="Times New Roman"/>
      <family val="1"/>
      <color rgb="FF000000"/>
      <sz val="10"/>
    </font>
    <font>
      <name val="PMingLiU"/>
      <charset val="136"/>
      <family val="1"/>
      <b val="1"/>
      <sz val="20"/>
    </font>
    <font>
      <name val="Times New Roman"/>
      <family val="1"/>
      <color rgb="FF00B050"/>
      <sz val="10"/>
    </font>
    <font>
      <name val="Times New Roman"/>
      <family val="1"/>
      <b val="1"/>
      <color rgb="FF00B050"/>
      <sz val="10"/>
    </font>
    <font>
      <name val="細明體"/>
      <charset val="136"/>
      <family val="1"/>
      <b val="1"/>
      <color rgb="FF000000"/>
      <sz val="9"/>
    </font>
    <font>
      <name val="Times New Roman"/>
      <charset val="136"/>
      <family val="1"/>
      <color rgb="FF00B050"/>
      <sz val="10"/>
    </font>
    <font>
      <name val="細明體"/>
      <charset val="136"/>
      <family val="1"/>
      <color rgb="FF00B050"/>
      <sz val="10"/>
    </font>
    <font>
      <name val="Times New Roman"/>
      <family val="1"/>
      <color theme="10"/>
      <sz val="10"/>
      <u val="single"/>
    </font>
    <font>
      <name val="Times New Roman"/>
      <family val="1"/>
      <b val="1"/>
      <color rgb="FF0432FF"/>
      <sz val="10"/>
    </font>
    <font>
      <name val="Times New Roman"/>
      <charset val="136"/>
      <family val="1"/>
      <color rgb="FF0432FF"/>
      <sz val="10"/>
    </font>
    <font>
      <name val="Times New Roman"/>
      <family val="1"/>
      <color rgb="FF0432FF"/>
      <sz val="10"/>
      <u val="single"/>
    </font>
    <font>
      <name val="Times New Roman"/>
      <family val="1"/>
      <color rgb="FFFF0000"/>
      <sz val="10"/>
    </font>
    <font>
      <name val="Microsoft JhengHei"/>
      <family val="1"/>
      <color rgb="FFFF0000"/>
      <sz val="10"/>
    </font>
    <font>
      <name val="細明體"/>
      <charset val="136"/>
      <family val="1"/>
      <color rgb="FFFF0000"/>
      <sz val="10"/>
    </font>
    <font>
      <name val="Microsoft JhengHei"/>
      <family val="1"/>
      <color theme="1"/>
      <sz val="11"/>
    </font>
    <font>
      <name val="Microsoft JhengHei"/>
      <charset val="136"/>
      <family val="1"/>
      <color theme="1"/>
      <sz val="11"/>
    </font>
    <font>
      <name val="細明體"/>
      <charset val="136"/>
      <family val="1"/>
      <color rgb="FF0432FF"/>
      <sz val="10"/>
    </font>
    <font>
      <name val="Microsoft JhengHei"/>
      <family val="1"/>
      <sz val="12"/>
    </font>
    <font>
      <name val="Times New Roman"/>
      <charset val="136"/>
      <family val="1"/>
      <color theme="1"/>
      <sz val="12"/>
    </font>
    <font>
      <name val="Microsoft JhengHei"/>
      <charset val="136"/>
      <family val="2"/>
      <b val="1"/>
      <color rgb="FFFF0000"/>
      <sz val="10"/>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FFFFFF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8"/>
      </left>
      <right style="thin">
        <color theme="0" tint="-0.3499862666707358"/>
      </right>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rgb="FF000000"/>
      </top>
      <bottom/>
      <diagonal/>
    </border>
    <border>
      <left/>
      <right style="thin">
        <color rgb="FF000000"/>
      </right>
      <top style="thin">
        <color rgb="FF000000"/>
      </top>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8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7" fillId="0" borderId="0" applyAlignment="1" pivotButton="0" quotePrefix="0" xfId="13">
      <alignment vertical="center"/>
    </xf>
    <xf numFmtId="0" fontId="48" fillId="6" borderId="34" applyAlignment="1" pivotButton="0" quotePrefix="0" xfId="14">
      <alignment horizontal="center" vertical="center"/>
    </xf>
    <xf numFmtId="0" fontId="48" fillId="6" borderId="35" applyAlignment="1" pivotButton="0" quotePrefix="0" xfId="14">
      <alignment horizontal="center" vertical="center"/>
    </xf>
    <xf numFmtId="165" fontId="48" fillId="6" borderId="35" applyAlignment="1" pivotButton="0" quotePrefix="0" xfId="14">
      <alignment horizontal="center" vertical="center"/>
    </xf>
    <xf numFmtId="0" fontId="48" fillId="6" borderId="36" applyAlignment="1" pivotButton="0" quotePrefix="0" xfId="14">
      <alignment horizontal="center" vertical="center"/>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7" fillId="2" borderId="16" applyAlignment="1" pivotButton="0" quotePrefix="0" xfId="14">
      <alignment horizontal="center"/>
    </xf>
    <xf numFmtId="0" fontId="40" fillId="0" borderId="0" applyAlignment="1" pivotButton="0" quotePrefix="0" xfId="12">
      <alignment vertical="center"/>
    </xf>
    <xf numFmtId="0" fontId="47" fillId="2" borderId="16" applyAlignment="1" pivotButton="0" quotePrefix="0" xfId="14">
      <alignment horizontal="center" vertical="center"/>
    </xf>
    <xf numFmtId="0" fontId="47" fillId="2" borderId="18" applyAlignment="1" pivotButton="0" quotePrefix="0" xfId="14">
      <alignment horizontal="center" vertical="center"/>
    </xf>
    <xf numFmtId="0" fontId="53" fillId="0" borderId="0" applyAlignment="1" pivotButton="0" quotePrefix="0" xfId="0">
      <alignment vertical="center"/>
    </xf>
    <xf numFmtId="0" fontId="54" fillId="0" borderId="0" applyAlignment="1" pivotButton="0" quotePrefix="0" xfId="0">
      <alignment horizontal="left" vertical="center"/>
    </xf>
    <xf numFmtId="0" fontId="55" fillId="0" borderId="0" applyAlignment="1" pivotButton="0" quotePrefix="0" xfId="0">
      <alignment horizontal="right" vertical="center" wrapText="1"/>
    </xf>
    <xf numFmtId="0" fontId="55" fillId="0" borderId="0" applyAlignment="1" pivotButton="0" quotePrefix="0" xfId="0">
      <alignment horizontal="left" vertical="center" wrapText="1"/>
    </xf>
    <xf numFmtId="0" fontId="55" fillId="0" borderId="0" applyAlignment="1" pivotButton="0" quotePrefix="0" xfId="0">
      <alignment vertical="center" wrapText="1"/>
    </xf>
    <xf numFmtId="0" fontId="55" fillId="0" borderId="0" applyAlignment="1" pivotButton="0" quotePrefix="0" xfId="0">
      <alignment horizontal="center" vertical="center" wrapText="1"/>
    </xf>
    <xf numFmtId="49" fontId="56" fillId="0" borderId="0" applyAlignment="1" pivotButton="0" quotePrefix="0" xfId="0">
      <alignment horizontal="left" vertical="center" wrapText="1"/>
    </xf>
    <xf numFmtId="0" fontId="56" fillId="0" borderId="0" applyAlignment="1" pivotButton="0" quotePrefix="0" xfId="0">
      <alignment vertical="center" wrapText="1"/>
    </xf>
    <xf numFmtId="0" fontId="57" fillId="0" borderId="0" applyAlignment="1" pivotButton="0" quotePrefix="0" xfId="0">
      <alignment horizontal="right" vertical="center" wrapText="1"/>
    </xf>
    <xf numFmtId="0" fontId="57" fillId="0" borderId="0" applyAlignment="1" pivotButton="0" quotePrefix="0" xfId="0">
      <alignment horizontal="left" vertical="center" wrapText="1"/>
    </xf>
    <xf numFmtId="0" fontId="54" fillId="0" borderId="0" applyAlignment="1" pivotButton="0" quotePrefix="0" xfId="0">
      <alignment horizontal="center" vertical="center"/>
    </xf>
    <xf numFmtId="0" fontId="61" fillId="3" borderId="39" applyAlignment="1" pivotButton="0" quotePrefix="0" xfId="0">
      <alignment horizontal="center" vertical="center" wrapText="1"/>
    </xf>
    <xf numFmtId="0" fontId="55" fillId="3" borderId="39" applyAlignment="1" pivotButton="0" quotePrefix="0" xfId="0">
      <alignment horizontal="center" vertical="center" wrapText="1"/>
    </xf>
    <xf numFmtId="0" fontId="62" fillId="3" borderId="39" applyAlignment="1" pivotButton="0" quotePrefix="0" xfId="0">
      <alignment horizontal="center" vertical="center" wrapText="1"/>
    </xf>
    <xf numFmtId="0" fontId="55" fillId="3" borderId="44" applyAlignment="1" pivotButton="0" quotePrefix="0" xfId="0">
      <alignment horizontal="center" vertical="center" wrapText="1"/>
    </xf>
    <xf numFmtId="0" fontId="55" fillId="0" borderId="0" applyAlignment="1" pivotButton="0" quotePrefix="0" xfId="0">
      <alignment horizontal="center" vertical="center"/>
    </xf>
    <xf numFmtId="0" fontId="55" fillId="2" borderId="45" applyAlignment="1" pivotButton="0" quotePrefix="0" xfId="0">
      <alignment horizontal="center" vertical="center" wrapText="1"/>
    </xf>
    <xf numFmtId="0" fontId="54" fillId="0" borderId="45" applyAlignment="1" pivotButton="0" quotePrefix="0" xfId="0">
      <alignment horizontal="center" vertical="center"/>
    </xf>
    <xf numFmtId="0" fontId="47"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5" fillId="0" borderId="0" applyAlignment="1" pivotButton="0" quotePrefix="0" xfId="12">
      <alignment horizontal="center" vertical="center" wrapText="1"/>
    </xf>
    <xf numFmtId="0" fontId="47" fillId="0" borderId="2" applyAlignment="1" pivotButton="0" quotePrefix="0" xfId="18">
      <alignment horizontal="center" vertical="center" wrapText="1"/>
    </xf>
    <xf numFmtId="0" fontId="47" fillId="0" borderId="0" applyAlignment="1" pivotButton="0" quotePrefix="0" xfId="18">
      <alignment horizontal="center" vertical="center"/>
    </xf>
    <xf numFmtId="0" fontId="47" fillId="0" borderId="47" applyAlignment="1" pivotButton="0" quotePrefix="0" xfId="18">
      <alignment horizontal="center" vertical="center" wrapText="1"/>
    </xf>
    <xf numFmtId="0" fontId="47" fillId="0" borderId="48" applyAlignment="1" pivotButton="0" quotePrefix="0" xfId="18">
      <alignment horizontal="center" vertical="center" wrapText="1"/>
    </xf>
    <xf numFmtId="0" fontId="47" fillId="0" borderId="48" applyAlignment="1" pivotButton="0" quotePrefix="0" xfId="18">
      <alignment vertical="center"/>
    </xf>
    <xf numFmtId="0" fontId="47" fillId="0" borderId="48" applyAlignment="1" pivotButton="0" quotePrefix="0" xfId="18">
      <alignment horizontal="center" vertical="center"/>
    </xf>
    <xf numFmtId="0" fontId="47"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1" fillId="3" borderId="44" applyAlignment="1" pivotButton="0" quotePrefix="0" xfId="0">
      <alignment horizontal="center" vertical="center" wrapText="1"/>
    </xf>
    <xf numFmtId="0" fontId="41" fillId="0" borderId="17" applyAlignment="1" pivotButton="0" quotePrefix="0" xfId="14">
      <alignment horizontal="center" vertical="center" wrapText="1"/>
    </xf>
    <xf numFmtId="0" fontId="70" fillId="3" borderId="44" applyAlignment="1" pivotButton="0" quotePrefix="0" xfId="0">
      <alignment horizontal="center" vertical="center" wrapText="1"/>
    </xf>
    <xf numFmtId="0" fontId="47" fillId="0" borderId="51" applyAlignment="1" pivotButton="0" quotePrefix="0" xfId="18">
      <alignment horizontal="center" vertical="center" wrapText="1"/>
    </xf>
    <xf numFmtId="0" fontId="54" fillId="0" borderId="0" applyAlignment="1" pivotButton="0" quotePrefix="0" xfId="0">
      <alignment horizontal="left" vertical="center" wrapText="1"/>
    </xf>
    <xf numFmtId="0" fontId="54" fillId="0" borderId="0" applyAlignment="1" pivotButton="0" quotePrefix="0" xfId="0">
      <alignment horizontal="right" vertical="center"/>
    </xf>
    <xf numFmtId="0" fontId="54" fillId="0" borderId="0" applyAlignment="1" pivotButton="0" quotePrefix="0" xfId="0">
      <alignment vertical="center"/>
    </xf>
    <xf numFmtId="0" fontId="54" fillId="0" borderId="45" applyAlignment="1" pivotButton="0" quotePrefix="0" xfId="0">
      <alignment vertical="center"/>
    </xf>
    <xf numFmtId="0" fontId="54" fillId="0" borderId="45" applyAlignment="1" pivotButton="0" quotePrefix="0" xfId="0">
      <alignment vertical="center" wrapText="1"/>
    </xf>
    <xf numFmtId="0" fontId="54" fillId="0" borderId="0" applyAlignment="1" pivotButton="0" quotePrefix="0" xfId="0">
      <alignment vertical="center" wrapText="1"/>
    </xf>
    <xf numFmtId="0" fontId="57" fillId="0" borderId="0" applyAlignment="1" pivotButton="0" quotePrefix="0" xfId="0">
      <alignment horizontal="center" vertical="center" wrapText="1"/>
    </xf>
    <xf numFmtId="14" fontId="69" fillId="2" borderId="0" applyAlignment="1" pivotButton="0" quotePrefix="0" xfId="0">
      <alignment horizontal="left" vertical="center" wrapText="1"/>
    </xf>
    <xf numFmtId="14" fontId="47" fillId="0" borderId="48" applyAlignment="1" pivotButton="0" quotePrefix="0" xfId="18">
      <alignment horizontal="center" vertical="center" wrapText="1"/>
    </xf>
    <xf numFmtId="49" fontId="55" fillId="0" borderId="45" applyAlignment="1" pivotButton="0" quotePrefix="0" xfId="0">
      <alignment vertical="center" wrapText="1"/>
    </xf>
    <xf numFmtId="0" fontId="55" fillId="0" borderId="45" applyAlignment="1" pivotButton="0" quotePrefix="0" xfId="0">
      <alignment horizontal="center" vertical="center" wrapText="1"/>
    </xf>
    <xf numFmtId="0" fontId="55" fillId="0" borderId="45" applyAlignment="1" pivotButton="0" quotePrefix="0" xfId="0">
      <alignment vertical="center"/>
    </xf>
    <xf numFmtId="49" fontId="55" fillId="0" borderId="45" applyAlignment="1" pivotButton="0" quotePrefix="0" xfId="0">
      <alignment horizontal="center" vertical="center"/>
    </xf>
    <xf numFmtId="0" fontId="80" fillId="0" borderId="45" applyAlignment="1" pivotButton="0" quotePrefix="0" xfId="0">
      <alignment horizontal="center" vertical="center" wrapText="1"/>
    </xf>
    <xf numFmtId="0" fontId="55" fillId="0" borderId="45" applyAlignment="1" pivotButton="0" quotePrefix="0" xfId="0">
      <alignment vertical="center" wrapText="1"/>
    </xf>
    <xf numFmtId="0" fontId="55" fillId="0" borderId="45" applyAlignment="1" pivotButton="0" quotePrefix="0" xfId="0">
      <alignment horizontal="center" vertical="center"/>
    </xf>
    <xf numFmtId="0" fontId="55" fillId="0" borderId="0" applyAlignment="1" pivotButton="0" quotePrefix="0" xfId="0">
      <alignment vertical="center"/>
    </xf>
    <xf numFmtId="0" fontId="55" fillId="0" borderId="45" applyAlignment="1" pivotButton="0" quotePrefix="0" xfId="0">
      <alignment horizontal="left" vertical="center" wrapText="1"/>
    </xf>
    <xf numFmtId="0" fontId="80" fillId="0" borderId="45" applyAlignment="1" pivotButton="0" quotePrefix="0" xfId="0">
      <alignment vertical="center" wrapText="1"/>
    </xf>
    <xf numFmtId="0" fontId="77" fillId="0" borderId="0" applyAlignment="1" pivotButton="0" quotePrefix="0" xfId="0">
      <alignment horizontal="center" vertical="center" wrapText="1"/>
    </xf>
    <xf numFmtId="0" fontId="78" fillId="0" borderId="53" applyAlignment="1" pivotButton="0" quotePrefix="0" xfId="0">
      <alignment horizontal="center" vertical="center" wrapText="1"/>
    </xf>
    <xf numFmtId="0" fontId="55" fillId="0" borderId="52" applyAlignment="1" pivotButton="0" quotePrefix="0" xfId="0">
      <alignment horizontal="center" vertical="center" wrapText="1"/>
    </xf>
    <xf numFmtId="0" fontId="54" fillId="0" borderId="52" applyAlignment="1" pivotButton="0" quotePrefix="0" xfId="0">
      <alignment vertical="center"/>
    </xf>
    <xf numFmtId="0" fontId="54" fillId="0" borderId="52" applyAlignment="1" pivotButton="0" quotePrefix="0" xfId="0">
      <alignment horizontal="center" vertical="center"/>
    </xf>
    <xf numFmtId="0" fontId="54" fillId="0" borderId="52" applyAlignment="1" pivotButton="0" quotePrefix="0" xfId="0">
      <alignment vertical="center" wrapText="1"/>
    </xf>
    <xf numFmtId="49" fontId="85" fillId="0" borderId="45" applyAlignment="1" pivotButton="0" quotePrefix="0" xfId="17">
      <alignment horizontal="center" vertical="center"/>
    </xf>
    <xf numFmtId="0" fontId="85" fillId="0" borderId="45" applyAlignment="1" pivotButton="0" quotePrefix="0" xfId="17">
      <alignment horizontal="center" vertical="center"/>
    </xf>
    <xf numFmtId="0" fontId="80" fillId="0" borderId="45" applyAlignment="1" pivotButton="0" quotePrefix="0" xfId="0">
      <alignment horizontal="left" vertical="top" wrapText="1"/>
    </xf>
    <xf numFmtId="49" fontId="80" fillId="0" borderId="45" applyAlignment="1" pivotButton="0" quotePrefix="0" xfId="0">
      <alignment horizontal="left" vertical="top" wrapText="1"/>
    </xf>
    <xf numFmtId="49" fontId="55" fillId="0" borderId="45" applyAlignment="1" pivotButton="0" quotePrefix="0" xfId="0">
      <alignment horizontal="left" vertical="top" wrapText="1"/>
    </xf>
    <xf numFmtId="0" fontId="80" fillId="0" borderId="45" applyAlignment="1" pivotButton="0" quotePrefix="0" xfId="0">
      <alignment vertical="top" wrapText="1"/>
    </xf>
    <xf numFmtId="49" fontId="80" fillId="0" borderId="45" applyAlignment="1" pivotButton="0" quotePrefix="0" xfId="0">
      <alignment vertical="top" wrapText="1"/>
    </xf>
    <xf numFmtId="49" fontId="55" fillId="0" borderId="45" applyAlignment="1" pivotButton="0" quotePrefix="0" xfId="0">
      <alignment vertical="top" wrapText="1"/>
    </xf>
    <xf numFmtId="0" fontId="54" fillId="0" borderId="52" applyAlignment="1" pivotButton="0" quotePrefix="0" xfId="0">
      <alignment vertical="top"/>
    </xf>
    <xf numFmtId="0" fontId="54" fillId="0" borderId="45" applyAlignment="1" pivotButton="0" quotePrefix="0" xfId="0">
      <alignment vertical="top"/>
    </xf>
    <xf numFmtId="0" fontId="54" fillId="0" borderId="0" applyAlignment="1" pivotButton="0" quotePrefix="0" xfId="0">
      <alignment vertical="top"/>
    </xf>
    <xf numFmtId="49" fontId="83" fillId="0" borderId="45" applyAlignment="1" pivotButton="0" quotePrefix="0" xfId="0">
      <alignment vertical="top" wrapText="1"/>
    </xf>
    <xf numFmtId="0" fontId="54" fillId="0" borderId="52" applyAlignment="1" pivotButton="0" quotePrefix="0" xfId="0">
      <alignment horizontal="left" vertical="top"/>
    </xf>
    <xf numFmtId="0" fontId="54" fillId="0" borderId="45" applyAlignment="1" pivotButton="0" quotePrefix="0" xfId="0">
      <alignment horizontal="left" vertical="top"/>
    </xf>
    <xf numFmtId="0" fontId="54" fillId="0" borderId="0" applyAlignment="1" pivotButton="0" quotePrefix="0" xfId="0">
      <alignment horizontal="left" vertical="top"/>
    </xf>
    <xf numFmtId="0" fontId="55" fillId="0" borderId="45" applyAlignment="1" pivotButton="0" quotePrefix="0" xfId="0">
      <alignment horizontal="left" vertical="top" wrapText="1"/>
    </xf>
    <xf numFmtId="0" fontId="55" fillId="0" borderId="45" applyAlignment="1" pivotButton="0" quotePrefix="0" xfId="0">
      <alignment vertical="top" wrapText="1"/>
    </xf>
    <xf numFmtId="0" fontId="55" fillId="0" borderId="45" applyAlignment="1" pivotButton="0" quotePrefix="0" xfId="0">
      <alignment vertical="top"/>
    </xf>
    <xf numFmtId="0" fontId="80" fillId="0" borderId="45" applyAlignment="1" pivotButton="0" quotePrefix="0" xfId="0">
      <alignment vertical="top"/>
    </xf>
    <xf numFmtId="0" fontId="55" fillId="0" borderId="0" applyAlignment="1" pivotButton="0" quotePrefix="0" xfId="0">
      <alignment horizontal="left" vertical="top" wrapText="1"/>
    </xf>
    <xf numFmtId="0" fontId="56" fillId="0" borderId="0" applyAlignment="1" pivotButton="0" quotePrefix="0" xfId="0">
      <alignment horizontal="left" vertical="top" wrapText="1"/>
    </xf>
    <xf numFmtId="0" fontId="70" fillId="0" borderId="45" applyAlignment="1" pivotButton="0" quotePrefix="0" xfId="0">
      <alignment horizontal="center" vertical="center" wrapText="1"/>
    </xf>
    <xf numFmtId="0" fontId="70" fillId="0" borderId="45" applyAlignment="1" pivotButton="0" quotePrefix="0" xfId="0">
      <alignment vertical="top" wrapText="1"/>
    </xf>
    <xf numFmtId="0" fontId="70" fillId="0" borderId="45" applyAlignment="1" pivotButton="0" quotePrefix="0" xfId="0">
      <alignment horizontal="center" vertical="center"/>
    </xf>
    <xf numFmtId="49" fontId="70" fillId="0" borderId="45" applyAlignment="1" pivotButton="0" quotePrefix="0" xfId="0">
      <alignment horizontal="center" vertical="center"/>
    </xf>
    <xf numFmtId="49" fontId="70" fillId="0" borderId="45" applyAlignment="1" pivotButton="0" quotePrefix="0" xfId="0">
      <alignment vertical="top" wrapText="1"/>
    </xf>
    <xf numFmtId="49" fontId="70" fillId="0" borderId="45" applyAlignment="1" pivotButton="0" quotePrefix="0" xfId="0">
      <alignment horizontal="left" vertical="top" wrapText="1"/>
    </xf>
    <xf numFmtId="49" fontId="70" fillId="0" borderId="45" applyAlignment="1" pivotButton="0" quotePrefix="0" xfId="0">
      <alignment vertical="center" wrapText="1"/>
    </xf>
    <xf numFmtId="0" fontId="70" fillId="0" borderId="45" applyAlignment="1" pivotButton="0" quotePrefix="0" xfId="0">
      <alignment vertical="center"/>
    </xf>
    <xf numFmtId="0" fontId="70" fillId="0" borderId="45" applyAlignment="1" pivotButton="0" quotePrefix="0" xfId="0">
      <alignment horizontal="left" vertical="top" wrapText="1"/>
    </xf>
    <xf numFmtId="49" fontId="87" fillId="0" borderId="45" applyAlignment="1" pivotButton="0" quotePrefix="0" xfId="0">
      <alignment vertical="top" wrapText="1"/>
    </xf>
    <xf numFmtId="0" fontId="70" fillId="0" borderId="45" applyAlignment="1" pivotButton="0" quotePrefix="0" xfId="0">
      <alignment vertical="center" wrapText="1"/>
    </xf>
    <xf numFmtId="0" fontId="70" fillId="0" borderId="45" applyAlignment="1" pivotButton="0" quotePrefix="0" xfId="0">
      <alignment vertical="top"/>
    </xf>
    <xf numFmtId="49" fontId="55" fillId="8" borderId="45" applyAlignment="1" pivotButton="0" quotePrefix="0" xfId="0">
      <alignment horizontal="center" vertical="center"/>
    </xf>
    <xf numFmtId="0" fontId="70" fillId="0" borderId="0" applyAlignment="1" pivotButton="0" quotePrefix="0" xfId="0">
      <alignment vertical="center"/>
    </xf>
    <xf numFmtId="0" fontId="88" fillId="0" borderId="45" applyAlignment="1" pivotButton="0" quotePrefix="0" xfId="17">
      <alignment horizontal="center" vertical="center"/>
    </xf>
    <xf numFmtId="0" fontId="40" fillId="0" borderId="17" applyAlignment="1" pivotButton="0" quotePrefix="0" xfId="14">
      <alignment horizontal="center" vertical="center" wrapText="1"/>
    </xf>
    <xf numFmtId="0" fontId="54" fillId="0" borderId="0" pivotButton="0" quotePrefix="0" xfId="0"/>
    <xf numFmtId="0" fontId="96" fillId="0" borderId="51" applyAlignment="1" pivotButton="0" quotePrefix="0" xfId="18">
      <alignment horizontal="center" vertical="center" wrapText="1"/>
    </xf>
    <xf numFmtId="49" fontId="55" fillId="2" borderId="45" applyAlignment="1" pivotButton="0" quotePrefix="0" xfId="0">
      <alignment horizontal="center" vertical="center"/>
    </xf>
    <xf numFmtId="0" fontId="55" fillId="2" borderId="0" applyAlignment="1" pivotButton="0" quotePrefix="0" xfId="0">
      <alignment horizontal="center" vertical="center" wrapText="1"/>
    </xf>
    <xf numFmtId="0" fontId="55" fillId="3" borderId="38" applyAlignment="1" pivotButton="0" quotePrefix="0" xfId="0">
      <alignment horizontal="center" vertical="center"/>
    </xf>
    <xf numFmtId="0" fontId="59" fillId="7" borderId="38" applyAlignment="1" pivotButton="0" quotePrefix="0" xfId="0">
      <alignment horizontal="center" vertical="center" wrapText="1"/>
    </xf>
    <xf numFmtId="0" fontId="59" fillId="7" borderId="38" applyAlignment="1" pivotButton="0" quotePrefix="0" xfId="0">
      <alignment horizontal="center" vertical="center"/>
    </xf>
    <xf numFmtId="0" fontId="59" fillId="7" borderId="39" applyAlignment="1" pivotButton="0" quotePrefix="0" xfId="0">
      <alignment horizontal="center" vertical="center"/>
    </xf>
    <xf numFmtId="0" fontId="53" fillId="0" borderId="0" applyAlignment="1" pivotButton="0" quotePrefix="0" xfId="0">
      <alignment horizontal="center" vertical="center" wrapText="1"/>
    </xf>
    <xf numFmtId="0" fontId="53" fillId="0" borderId="0" applyAlignment="1" pivotButton="0" quotePrefix="0" xfId="0">
      <alignment horizontal="center" vertical="center"/>
    </xf>
    <xf numFmtId="0" fontId="53" fillId="0" borderId="0" applyAlignment="1" pivotButton="0" quotePrefix="0" xfId="0">
      <alignment horizontal="left" vertical="top"/>
    </xf>
    <xf numFmtId="0" fontId="59" fillId="7" borderId="40" applyAlignment="1" pivotButton="0" quotePrefix="0" xfId="0">
      <alignment horizontal="center" vertical="center" wrapText="1"/>
    </xf>
    <xf numFmtId="0" fontId="59" fillId="7" borderId="41" applyAlignment="1" pivotButton="0" quotePrefix="0" xfId="0">
      <alignment horizontal="center" vertical="center" wrapText="1"/>
    </xf>
    <xf numFmtId="0" fontId="59" fillId="7" borderId="43" applyAlignment="1" pivotButton="0" quotePrefix="0" xfId="0">
      <alignment horizontal="center" vertical="center" wrapText="1"/>
    </xf>
    <xf numFmtId="0" fontId="59" fillId="7" borderId="42" applyAlignment="1" pivotButton="0" quotePrefix="0" xfId="0">
      <alignment horizontal="center" vertical="center"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2"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0" fillId="0" borderId="26" applyAlignment="1" pivotButton="0" quotePrefix="0" xfId="15">
      <alignment horizontal="center" vertical="center" wrapText="1"/>
    </xf>
    <xf numFmtId="0" fontId="50" fillId="0" borderId="27" applyAlignment="1" pivotButton="0" quotePrefix="0" xfId="15">
      <alignment horizontal="center" vertical="center" wrapText="1"/>
    </xf>
    <xf numFmtId="0" fontId="50" fillId="0" borderId="28" applyAlignment="1" pivotButton="0" quotePrefix="0" xfId="15">
      <alignment horizontal="center" vertical="center" wrapText="1"/>
    </xf>
    <xf numFmtId="0" fontId="50" fillId="0" borderId="29" applyAlignment="1" pivotButton="0" quotePrefix="0" xfId="15">
      <alignment horizontal="center" vertical="center" wrapText="1"/>
    </xf>
    <xf numFmtId="0" fontId="50" fillId="0" borderId="0" applyAlignment="1" pivotButton="0" quotePrefix="0" xfId="15">
      <alignment horizontal="center" vertical="center" wrapText="1"/>
    </xf>
    <xf numFmtId="0" fontId="50" fillId="0" borderId="30" applyAlignment="1" pivotButton="0" quotePrefix="0" xfId="15">
      <alignment horizontal="center" vertical="center" wrapText="1"/>
    </xf>
    <xf numFmtId="0" fontId="50" fillId="0" borderId="31" applyAlignment="1" pivotButton="0" quotePrefix="0" xfId="15">
      <alignment horizontal="center" vertical="center" wrapText="1"/>
    </xf>
    <xf numFmtId="0" fontId="50" fillId="0" borderId="32" applyAlignment="1" pivotButton="0" quotePrefix="0" xfId="15">
      <alignment horizontal="center" vertical="center" wrapText="1"/>
    </xf>
    <xf numFmtId="0" fontId="50" fillId="0" borderId="33" applyAlignment="1" pivotButton="0" quotePrefix="0" xfId="15">
      <alignment horizontal="center" vertical="center" wrapText="1"/>
    </xf>
    <xf numFmtId="0" fontId="64" fillId="0" borderId="5" applyAlignment="1" pivotButton="0" quotePrefix="0" xfId="12">
      <alignment horizontal="center" vertical="center" wrapText="1"/>
    </xf>
    <xf numFmtId="0" fontId="49" fillId="0" borderId="6" applyAlignment="1" pivotButton="0" quotePrefix="0" xfId="12">
      <alignment horizontal="center" vertical="center"/>
    </xf>
    <xf numFmtId="0" fontId="49" fillId="0" borderId="7" applyAlignment="1" pivotButton="0" quotePrefix="0" xfId="12">
      <alignment horizontal="center" vertical="center"/>
    </xf>
    <xf numFmtId="0" fontId="49" fillId="0" borderId="8" applyAlignment="1" pivotButton="0" quotePrefix="0" xfId="12">
      <alignment horizontal="center" vertical="center"/>
    </xf>
    <xf numFmtId="0" fontId="49" fillId="0" borderId="0" applyAlignment="1" pivotButton="0" quotePrefix="0" xfId="12">
      <alignment horizontal="center" vertical="center"/>
    </xf>
    <xf numFmtId="0" fontId="49" fillId="0" borderId="9" applyAlignment="1" pivotButton="0" quotePrefix="0" xfId="12">
      <alignment horizontal="center" vertical="center"/>
    </xf>
    <xf numFmtId="49" fontId="47" fillId="0" borderId="2" applyAlignment="1" pivotButton="0" quotePrefix="0" xfId="12">
      <alignment horizontal="center"/>
    </xf>
    <xf numFmtId="49" fontId="47" fillId="0" borderId="3" applyAlignment="1" pivotButton="0" quotePrefix="0" xfId="12">
      <alignment horizontal="center"/>
    </xf>
    <xf numFmtId="49" fontId="47"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2"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6" fillId="0" borderId="5" applyAlignment="1" pivotButton="0" quotePrefix="0" xfId="14">
      <alignment horizontal="center" vertical="center"/>
    </xf>
    <xf numFmtId="0" fontId="46" fillId="0" borderId="6" applyAlignment="1" pivotButton="0" quotePrefix="0" xfId="14">
      <alignment horizontal="center" vertical="center"/>
    </xf>
    <xf numFmtId="0" fontId="46" fillId="0" borderId="7" applyAlignment="1" pivotButton="0" quotePrefix="0" xfId="14">
      <alignment horizontal="center" vertical="center"/>
    </xf>
    <xf numFmtId="0" fontId="46" fillId="0" borderId="8" applyAlignment="1" pivotButton="0" quotePrefix="0" xfId="14">
      <alignment horizontal="center" vertical="center"/>
    </xf>
    <xf numFmtId="0" fontId="46" fillId="0" borderId="0" applyAlignment="1" pivotButton="0" quotePrefix="0" xfId="14">
      <alignment horizontal="center" vertical="center"/>
    </xf>
    <xf numFmtId="0" fontId="46" fillId="0" borderId="9" applyAlignment="1" pivotButton="0" quotePrefix="0" xfId="14">
      <alignment horizontal="center" vertical="center"/>
    </xf>
    <xf numFmtId="0" fontId="46" fillId="0" borderId="10" applyAlignment="1" pivotButton="0" quotePrefix="0" xfId="14">
      <alignment horizontal="center" vertical="center"/>
    </xf>
    <xf numFmtId="0" fontId="46" fillId="0" borderId="11" applyAlignment="1" pivotButton="0" quotePrefix="0" xfId="14">
      <alignment horizontal="center" vertical="center"/>
    </xf>
    <xf numFmtId="0" fontId="46" fillId="0" borderId="12" applyAlignment="1" pivotButton="0" quotePrefix="0" xfId="14">
      <alignment horizontal="center" vertical="center"/>
    </xf>
    <xf numFmtId="0" fontId="47" fillId="0" borderId="1" applyAlignment="1" pivotButton="0" quotePrefix="0" xfId="18">
      <alignment horizontal="center" vertical="center"/>
    </xf>
    <xf numFmtId="14" fontId="47" fillId="0" borderId="1" applyAlignment="1" pivotButton="0" quotePrefix="0" xfId="18">
      <alignment horizontal="center" vertical="center"/>
    </xf>
    <xf numFmtId="0" fontId="65" fillId="0" borderId="0" applyAlignment="1" pivotButton="0" quotePrefix="0" xfId="12">
      <alignment horizontal="center" vertical="center" wrapText="1"/>
    </xf>
    <xf numFmtId="0" fontId="47" fillId="0" borderId="49" applyAlignment="1" pivotButton="0" quotePrefix="0" xfId="0">
      <alignment horizontal="center" vertical="center"/>
    </xf>
    <xf numFmtId="0" fontId="72" fillId="0" borderId="50" pivotButton="0" quotePrefix="0" xfId="0"/>
    <xf numFmtId="0" fontId="72" fillId="0" borderId="47" pivotButton="0" quotePrefix="0" xfId="0"/>
    <xf numFmtId="0" fontId="47" fillId="0" borderId="1" applyAlignment="1" pivotButton="0" quotePrefix="0" xfId="18">
      <alignment horizontal="center" vertical="center" wrapText="1"/>
    </xf>
    <xf numFmtId="0" fontId="47" fillId="0" borderId="2" applyAlignment="1" pivotButton="0" quotePrefix="0" xfId="18">
      <alignment horizontal="center" vertical="center"/>
    </xf>
    <xf numFmtId="0" fontId="47" fillId="0" borderId="3" applyAlignment="1" pivotButton="0" quotePrefix="0" xfId="18">
      <alignment horizontal="center" vertical="center"/>
    </xf>
    <xf numFmtId="0" fontId="47" fillId="0" borderId="4" applyAlignment="1" pivotButton="0" quotePrefix="0" xfId="18">
      <alignment horizontal="center" vertical="center"/>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7" pivotButton="0" quotePrefix="0" xfId="0"/>
    <xf numFmtId="0" fontId="0" fillId="0" borderId="4" pivotButton="0" quotePrefix="0" xfId="0"/>
    <xf numFmtId="0" fontId="0" fillId="0" borderId="58" pivotButton="0" quotePrefix="0" xfId="0"/>
    <xf numFmtId="0" fontId="64" fillId="0" borderId="68" applyAlignment="1" pivotButton="0" quotePrefix="0" xfId="12">
      <alignment horizontal="center" vertical="center" wrapText="1"/>
    </xf>
    <xf numFmtId="0" fontId="0" fillId="0" borderId="8" pivotButton="0" quotePrefix="0" xfId="0"/>
    <xf numFmtId="49" fontId="47"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2"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2" fillId="2" borderId="59" applyAlignment="1" pivotButton="0" quotePrefix="0" xfId="12">
      <alignment horizontal="center" vertical="center" wrapText="1"/>
    </xf>
    <xf numFmtId="0" fontId="0" fillId="0" borderId="62" pivotButton="0" quotePrefix="0" xfId="0"/>
    <xf numFmtId="0" fontId="0" fillId="0" borderId="63" pivotButton="0" quotePrefix="0" xfId="0"/>
    <xf numFmtId="165" fontId="22" fillId="2" borderId="64" applyAlignment="1" pivotButton="0" quotePrefix="0" xfId="12">
      <alignment horizontal="center" vertical="center"/>
    </xf>
    <xf numFmtId="0" fontId="0" fillId="0" borderId="66" pivotButton="0" quotePrefix="0" xfId="0"/>
    <xf numFmtId="0" fontId="50" fillId="0" borderId="67"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6" fillId="0" borderId="70"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8"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47" fillId="0" borderId="48" applyAlignment="1" pivotButton="0" quotePrefix="0" xfId="0">
      <alignment horizontal="center" vertical="center"/>
    </xf>
    <xf numFmtId="0" fontId="0" fillId="0" borderId="50" pivotButton="0" quotePrefix="0" xfId="0"/>
    <xf numFmtId="0" fontId="0" fillId="0" borderId="47" pivotButton="0" quotePrefix="0" xfId="0"/>
    <xf numFmtId="0" fontId="0" fillId="0" borderId="41" pivotButton="0" quotePrefix="0" xfId="0"/>
    <xf numFmtId="0" fontId="0" fillId="0" borderId="42"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hyperlink" Target="http://10.56.56.222/polarion/redirect/project/NR1L/workitem?id=NRL-132788" TargetMode="External" Id="rId1"/><Relationship Type="http://schemas.openxmlformats.org/officeDocument/2006/relationships/hyperlink" Target="http://10.56.56.222/polarion/redirect/project/NR1L/workitem?id=NRL-132788" TargetMode="External" Id="rId2"/><Relationship Type="http://schemas.openxmlformats.org/officeDocument/2006/relationships/hyperlink" Target="http://10.56.56.222/polarion/redirect/project/NR1L/workitem?id=NRL-132789" TargetMode="External" Id="rId3"/><Relationship Type="http://schemas.openxmlformats.org/officeDocument/2006/relationships/hyperlink" Target="http://10.56.56.222/polarion/redirect/project/NR1L/workitem?id=NRL-132790" TargetMode="External" Id="rId4"/><Relationship Type="http://schemas.openxmlformats.org/officeDocument/2006/relationships/hyperlink" Target="http://10.56.56.222/polarion/redirect/project/NR1L/workitem?id=NRL-132790" TargetMode="External" Id="rId5"/><Relationship Type="http://schemas.openxmlformats.org/officeDocument/2006/relationships/hyperlink" Target="http://10.56.56.222/polarion/redirect/project/NR1L/workitem?id=NRL-132791" TargetMode="External" Id="rId6"/><Relationship Type="http://schemas.openxmlformats.org/officeDocument/2006/relationships/hyperlink" Target="http://10.56.56.222/polarion/redirect/project/NR1L/workitem?id=NRL-132793" TargetMode="External" Id="rId7"/><Relationship Type="http://schemas.openxmlformats.org/officeDocument/2006/relationships/hyperlink" Target="http://10.56.56.222/polarion/redirect/project/NR1L/workitem?id=NRL-132794" TargetMode="External" Id="rId8"/><Relationship Type="http://schemas.openxmlformats.org/officeDocument/2006/relationships/hyperlink" Target="http://10.56.56.222/polarion/redirect/project/NR1L/workitem?id=NRL-132796" TargetMode="External" Id="rId9"/><Relationship Type="http://schemas.openxmlformats.org/officeDocument/2006/relationships/hyperlink" Target="http://10.56.56.222/polarion/redirect/project/NR1L/workitem?id=NRL-132796" TargetMode="External" Id="rId10"/><Relationship Type="http://schemas.openxmlformats.org/officeDocument/2006/relationships/hyperlink" Target="http://10.56.56.222/polarion/redirect/project/NR1L/workitem?id=NRL-132797" TargetMode="External" Id="rId11"/><Relationship Type="http://schemas.openxmlformats.org/officeDocument/2006/relationships/hyperlink" Target="http://10.56.56.222/polarion/redirect/project/NR1L/workitem?id=NRL-132797" TargetMode="External" Id="rId12"/><Relationship Type="http://schemas.openxmlformats.org/officeDocument/2006/relationships/hyperlink" Target="http://10.56.56.222/polarion/redirect/project/NR1L/workitem?id=NRL-132798" TargetMode="External" Id="rId13"/><Relationship Type="http://schemas.openxmlformats.org/officeDocument/2006/relationships/drawing" Target="/xl/drawings/drawing6.xml" Id="rId1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240" t="inlineStr">
        <is>
          <t>Document: Test Case Specification &amp; Result Templat_SWQT</t>
        </is>
      </c>
      <c r="D1" s="241" t="n"/>
      <c r="E1" s="241" t="n"/>
      <c r="F1" s="241" t="n"/>
      <c r="G1" s="241" t="n"/>
      <c r="H1" s="241" t="n"/>
      <c r="I1" s="241" t="n"/>
      <c r="J1" s="242" t="n"/>
    </row>
    <row r="2">
      <c r="A2" s="4" t="n"/>
      <c r="J2" s="243"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244"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240" t="inlineStr">
        <is>
          <t>Document: Test Case Specification &amp; Result Templat_SWQT</t>
        </is>
      </c>
      <c r="D1" s="241" t="n"/>
      <c r="E1" s="241" t="n"/>
      <c r="F1" s="241" t="n"/>
      <c r="G1" s="241" t="n"/>
      <c r="H1" s="241" t="n"/>
      <c r="I1" s="241" t="n"/>
      <c r="J1" s="242" t="n"/>
    </row>
    <row r="2">
      <c r="A2" s="4" t="n"/>
      <c r="J2" s="243" t="n"/>
    </row>
    <row r="3" ht="16" customHeight="1">
      <c r="A3" s="187" t="inlineStr">
        <is>
          <t>Verison No.</t>
        </is>
      </c>
      <c r="C3" s="188" t="inlineStr">
        <is>
          <t>Developed By</t>
        </is>
      </c>
      <c r="E3" s="188" t="inlineStr">
        <is>
          <t>Date</t>
        </is>
      </c>
      <c r="G3" s="188" t="inlineStr">
        <is>
          <t>Approved By</t>
        </is>
      </c>
      <c r="I3" s="189" t="inlineStr">
        <is>
          <t>Description of Change</t>
        </is>
      </c>
      <c r="J3" s="243" t="n"/>
    </row>
    <row r="4">
      <c r="A4" s="245" t="n">
        <v>1</v>
      </c>
      <c r="B4" s="246" t="n"/>
      <c r="C4" s="184" t="inlineStr">
        <is>
          <t>Andy Ko</t>
        </is>
      </c>
      <c r="D4" s="246" t="n"/>
      <c r="E4" s="185" t="n">
        <v>44265</v>
      </c>
      <c r="F4" s="246" t="n"/>
      <c r="G4" s="184" t="inlineStr">
        <is>
          <t>Steve Tsai</t>
        </is>
      </c>
      <c r="H4" s="246" t="n"/>
      <c r="I4" s="184" t="inlineStr">
        <is>
          <t>Modify Logo 、Name and Date</t>
        </is>
      </c>
      <c r="J4" s="246" t="n"/>
    </row>
    <row r="5">
      <c r="A5" s="176" t="n"/>
      <c r="B5" s="247" t="n"/>
      <c r="C5" s="177" t="n"/>
      <c r="D5" s="247" t="n"/>
      <c r="E5" s="177" t="n"/>
      <c r="F5" s="247" t="n"/>
      <c r="G5" s="177" t="n"/>
      <c r="H5" s="247" t="n"/>
      <c r="I5" s="177" t="n"/>
      <c r="J5" s="247" t="n"/>
    </row>
    <row r="6">
      <c r="A6" s="176" t="n"/>
      <c r="B6" s="247" t="n"/>
      <c r="C6" s="177" t="n"/>
      <c r="D6" s="247" t="n"/>
      <c r="E6" s="177" t="n"/>
      <c r="F6" s="247" t="n"/>
      <c r="G6" s="177" t="n"/>
      <c r="H6" s="247" t="n"/>
      <c r="I6" s="177" t="n"/>
      <c r="J6" s="247" t="n"/>
    </row>
    <row r="7">
      <c r="A7" s="176" t="n"/>
      <c r="B7" s="247" t="n"/>
      <c r="C7" s="177" t="n"/>
      <c r="D7" s="247" t="n"/>
      <c r="E7" s="177" t="n"/>
      <c r="F7" s="247" t="n"/>
      <c r="G7" s="177" t="n"/>
      <c r="H7" s="247" t="n"/>
      <c r="I7" s="177" t="n"/>
      <c r="J7" s="247" t="n"/>
    </row>
    <row r="8">
      <c r="A8" s="176" t="n"/>
      <c r="B8" s="247" t="n"/>
      <c r="C8" s="177" t="n"/>
      <c r="D8" s="247" t="n"/>
      <c r="E8" s="177" t="n"/>
      <c r="F8" s="247" t="n"/>
      <c r="G8" s="177" t="n"/>
      <c r="H8" s="247" t="n"/>
      <c r="I8" s="177" t="n"/>
      <c r="J8" s="247" t="n"/>
    </row>
    <row r="9">
      <c r="A9" s="176" t="n"/>
      <c r="B9" s="247" t="n"/>
      <c r="C9" s="177" t="n"/>
      <c r="D9" s="247" t="n"/>
      <c r="E9" s="177" t="n"/>
      <c r="F9" s="247" t="n"/>
      <c r="G9" s="177" t="n"/>
      <c r="H9" s="247" t="n"/>
      <c r="I9" s="177" t="n"/>
      <c r="J9" s="247" t="n"/>
    </row>
    <row r="10">
      <c r="A10" s="176" t="n"/>
      <c r="B10" s="247" t="n"/>
      <c r="C10" s="177" t="n"/>
      <c r="D10" s="247" t="n"/>
      <c r="E10" s="177" t="n"/>
      <c r="F10" s="247" t="n"/>
      <c r="G10" s="177" t="n"/>
      <c r="H10" s="247" t="n"/>
      <c r="I10" s="177" t="n"/>
      <c r="J10" s="247" t="n"/>
    </row>
    <row r="11" ht="15" customHeight="1" thickBot="1">
      <c r="A11" s="179" t="n"/>
      <c r="B11" s="248" t="n"/>
      <c r="C11" s="180" t="n"/>
      <c r="D11" s="248" t="n"/>
      <c r="E11" s="180" t="n"/>
      <c r="F11" s="248" t="n"/>
      <c r="G11" s="180" t="n"/>
      <c r="H11" s="248" t="n"/>
      <c r="I11" s="180" t="n"/>
      <c r="J11" s="248"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Normal="100" workbookViewId="0">
      <selection activeCell="G9" sqref="G9:H9"/>
    </sheetView>
  </sheetViews>
  <sheetFormatPr baseColWidth="10" defaultColWidth="8.83203125" defaultRowHeight="16"/>
  <cols>
    <col width="8.83203125" customWidth="1" style="53" min="1" max="2"/>
    <col width="22.33203125" customWidth="1" style="53" min="3" max="3"/>
    <col width="7.83203125" customWidth="1" style="53" min="4" max="4"/>
    <col width="7.1640625" customWidth="1" style="53" min="5" max="5"/>
    <col width="8" customWidth="1" style="53" min="6" max="6"/>
    <col width="9.83203125" customWidth="1" style="53" min="7" max="7"/>
    <col width="13.1640625" customWidth="1" style="53" min="8" max="8"/>
    <col width="8.83203125" customWidth="1" style="41" min="9" max="16384"/>
  </cols>
  <sheetData>
    <row r="3" ht="17" customHeight="1" thickBot="1"/>
    <row r="4">
      <c r="C4" s="249" t="inlineStr">
        <is>
          <t xml:space="preserve">文件名 Document name: STLA 測試用例規範和結果_SWQT
STLA Test Case Specification &amp; Result_SWQT </t>
        </is>
      </c>
      <c r="D4" s="241" t="n"/>
      <c r="E4" s="241" t="n"/>
      <c r="F4" s="241" t="n"/>
      <c r="G4" s="241" t="n"/>
      <c r="H4" s="242" t="n"/>
    </row>
    <row r="5">
      <c r="C5" s="250" t="n"/>
      <c r="H5" s="243" t="n"/>
    </row>
    <row r="6">
      <c r="C6" s="56" t="inlineStr">
        <is>
          <t>版本 Version</t>
        </is>
      </c>
      <c r="D6" s="251" t="inlineStr">
        <is>
          <t>B</t>
        </is>
      </c>
      <c r="E6" s="252" t="n"/>
      <c r="F6" s="247" t="n"/>
      <c r="G6" s="253" t="inlineStr">
        <is>
          <t>修訂日期 Revision Date</t>
        </is>
      </c>
      <c r="H6" s="254" t="n"/>
    </row>
    <row r="7" ht="16.25" customHeight="1">
      <c r="A7" s="57" t="n"/>
      <c r="B7" s="57" t="n"/>
      <c r="C7" s="58" t="inlineStr">
        <is>
          <t>核准者 Approver</t>
        </is>
      </c>
      <c r="D7" s="255" t="inlineStr">
        <is>
          <t>劉安哲 AllenACLiu</t>
        </is>
      </c>
      <c r="E7" s="252" t="n"/>
      <c r="F7" s="247" t="n"/>
      <c r="G7" s="256" t="n"/>
      <c r="H7" s="254" t="n"/>
    </row>
    <row r="8" ht="16.25" customHeight="1">
      <c r="A8" s="57" t="n"/>
      <c r="B8" s="57" t="n"/>
      <c r="C8" s="58" t="inlineStr">
        <is>
          <t>審查者 Reviewer</t>
        </is>
      </c>
      <c r="D8" s="255" t="inlineStr">
        <is>
          <t>張愷霏 ErinKFChang</t>
        </is>
      </c>
      <c r="E8" s="252" t="n"/>
      <c r="F8" s="247" t="n"/>
      <c r="G8" s="256" t="n"/>
      <c r="H8" s="254" t="n"/>
    </row>
    <row r="9" ht="17" customHeight="1" thickBot="1">
      <c r="A9" s="57" t="n"/>
      <c r="B9" s="57" t="n"/>
      <c r="C9" s="59" t="inlineStr">
        <is>
          <t>作者 Author</t>
        </is>
      </c>
      <c r="D9" s="257" t="inlineStr">
        <is>
          <t>許珮瑜 PeiPYHsu</t>
        </is>
      </c>
      <c r="E9" s="258" t="n"/>
      <c r="F9" s="259" t="n"/>
      <c r="G9" s="260" t="n"/>
      <c r="H9" s="261" t="n"/>
    </row>
    <row r="11" ht="17" customHeight="1" thickBot="1"/>
    <row r="12" ht="17" customHeight="1" thickTop="1">
      <c r="C12" s="262" t="inlineStr">
        <is>
          <t>FM-WI-FSM-036-A01 STLA 測試用例規範與結果_SWQT STLA Test Case Specification &amp; Result_SWQT_CFTS025_PlayerFunctions</t>
        </is>
      </c>
      <c r="D12" s="263" t="n"/>
      <c r="E12" s="263" t="n"/>
      <c r="F12" s="263" t="n"/>
      <c r="G12" s="263" t="n"/>
      <c r="H12" s="264" t="n"/>
    </row>
    <row r="13">
      <c r="C13" s="265" t="n"/>
      <c r="H13" s="266" t="n"/>
    </row>
    <row r="14">
      <c r="C14" s="265" t="n"/>
      <c r="H14" s="266" t="n"/>
    </row>
    <row r="15">
      <c r="C15" s="265" t="n"/>
      <c r="H15" s="266" t="n"/>
    </row>
    <row r="16">
      <c r="C16" s="265" t="n"/>
      <c r="H16" s="266" t="n"/>
    </row>
    <row r="17">
      <c r="C17" s="265" t="n"/>
      <c r="H17" s="266" t="n"/>
    </row>
    <row r="18">
      <c r="C18" s="265" t="n"/>
      <c r="H18" s="266" t="n"/>
    </row>
    <row r="19">
      <c r="C19" s="265" t="n"/>
      <c r="H19" s="266" t="n"/>
    </row>
    <row r="20">
      <c r="C20" s="265" t="n"/>
      <c r="H20" s="266" t="n"/>
    </row>
    <row r="21">
      <c r="C21" s="265" t="n"/>
      <c r="H21" s="266" t="n"/>
    </row>
    <row r="22">
      <c r="C22" s="265" t="n"/>
      <c r="H22" s="266" t="n"/>
    </row>
    <row r="23">
      <c r="C23" s="265" t="n"/>
      <c r="H23" s="266" t="n"/>
    </row>
    <row r="24">
      <c r="C24" s="265" t="n"/>
      <c r="H24" s="266" t="n"/>
    </row>
    <row r="25">
      <c r="C25" s="265" t="n"/>
      <c r="H25" s="266" t="n"/>
    </row>
    <row r="26">
      <c r="C26" s="265" t="n"/>
      <c r="H26" s="266" t="n"/>
    </row>
    <row r="27">
      <c r="C27" s="265" t="n"/>
      <c r="H27" s="266" t="n"/>
    </row>
    <row r="28">
      <c r="C28" s="265" t="n"/>
      <c r="H28" s="266" t="n"/>
    </row>
    <row r="29" ht="17" customHeight="1" thickBot="1">
      <c r="C29" s="267" t="n"/>
      <c r="D29" s="268" t="n"/>
      <c r="E29" s="268" t="n"/>
      <c r="F29" s="268" t="n"/>
      <c r="G29" s="268" t="n"/>
      <c r="H29" s="269" t="n"/>
    </row>
    <row r="30" ht="17" customHeight="1" thickTop="1">
      <c r="H30" s="55"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zoomScale="90" zoomScaleNormal="90" workbookViewId="0">
      <selection activeCell="F1" sqref="F1"/>
    </sheetView>
  </sheetViews>
  <sheetFormatPr baseColWidth="10" defaultColWidth="8.83203125" defaultRowHeight="16"/>
  <cols>
    <col width="11.5" customWidth="1" style="53" min="1" max="1"/>
    <col width="68.1640625" customWidth="1" style="53" min="2" max="2"/>
    <col width="17.83203125" customWidth="1" style="53" min="3" max="3"/>
    <col width="12.83203125" customWidth="1" style="270" min="4" max="4"/>
    <col width="17.5" customWidth="1" style="53" min="5" max="5"/>
    <col width="8.83203125" customWidth="1" style="41" min="6" max="16384"/>
  </cols>
  <sheetData>
    <row r="1">
      <c r="A1" s="271" t="inlineStr">
        <is>
          <t>修訂履歷  Revision History</t>
        </is>
      </c>
      <c r="B1" s="241" t="n"/>
      <c r="C1" s="241" t="n"/>
      <c r="D1" s="241" t="n"/>
      <c r="E1" s="242" t="n"/>
    </row>
    <row r="2">
      <c r="A2" s="250" t="n"/>
      <c r="E2" s="243" t="n"/>
    </row>
    <row r="3" ht="17" customHeight="1" thickBot="1">
      <c r="A3" s="272" t="n"/>
      <c r="B3" s="273" t="n"/>
      <c r="C3" s="273" t="n"/>
      <c r="D3" s="273" t="n"/>
      <c r="E3" s="274" t="n"/>
    </row>
    <row r="4">
      <c r="A4" s="42" t="inlineStr">
        <is>
          <t>版本 Ver.</t>
        </is>
      </c>
      <c r="B4" s="43" t="inlineStr">
        <is>
          <t>修訂内容 Revision Content</t>
        </is>
      </c>
      <c r="C4" s="43" t="inlineStr">
        <is>
          <t>修訂人Reviser</t>
        </is>
      </c>
      <c r="D4" s="275"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76" t="n">
        <v>45950</v>
      </c>
      <c r="E5" s="91" t="inlineStr">
        <is>
          <t>劉安哲
AllenACLiu</t>
        </is>
      </c>
    </row>
    <row r="6" ht="105" customHeight="1">
      <c r="A6" s="35" t="inlineStr">
        <is>
          <t>B</t>
        </is>
      </c>
      <c r="B6" s="89"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76" t="n">
        <v>45999</v>
      </c>
      <c r="E6" s="91" t="inlineStr">
        <is>
          <t>劉安哲
AllenACLiu</t>
        </is>
      </c>
    </row>
    <row r="7" ht="93" customHeight="1">
      <c r="A7" s="35" t="inlineStr">
        <is>
          <t>C</t>
        </is>
      </c>
      <c r="B7" s="89"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76" t="n">
        <v>46043</v>
      </c>
      <c r="E7" s="155" t="inlineStr">
        <is>
          <t>劉安哲
AllenACLiu</t>
        </is>
      </c>
    </row>
    <row r="8">
      <c r="A8" s="47" t="n"/>
      <c r="B8" s="47" t="n"/>
      <c r="C8" s="48" t="n"/>
      <c r="D8" s="277" t="n"/>
      <c r="E8" s="46" t="n"/>
    </row>
    <row r="9">
      <c r="A9" s="47" t="n"/>
      <c r="B9" s="47" t="n"/>
      <c r="C9" s="48" t="n"/>
      <c r="D9" s="277" t="n"/>
      <c r="E9" s="46" t="n"/>
    </row>
    <row r="10">
      <c r="A10" s="47" t="n"/>
      <c r="B10" s="47" t="n"/>
      <c r="C10" s="48" t="n"/>
      <c r="D10" s="277" t="n"/>
      <c r="E10" s="46" t="n"/>
    </row>
    <row r="11">
      <c r="A11" s="47" t="n"/>
      <c r="B11" s="47" t="n"/>
      <c r="C11" s="48" t="n"/>
      <c r="D11" s="277" t="n"/>
      <c r="E11" s="46" t="n"/>
    </row>
    <row r="12">
      <c r="A12" s="47" t="n"/>
      <c r="B12" s="47" t="n"/>
      <c r="C12" s="48" t="n"/>
      <c r="D12" s="277" t="n"/>
      <c r="E12" s="46" t="n"/>
    </row>
    <row r="13">
      <c r="A13" s="47" t="n"/>
      <c r="B13" s="47" t="n"/>
      <c r="C13" s="48" t="n"/>
      <c r="D13" s="277" t="n"/>
      <c r="E13" s="46" t="n"/>
    </row>
    <row r="14">
      <c r="A14" s="47" t="n"/>
      <c r="B14" s="47" t="n"/>
      <c r="C14" s="48" t="n"/>
      <c r="D14" s="277" t="n"/>
      <c r="E14" s="46" t="n"/>
    </row>
    <row r="15" ht="17" customHeight="1" thickBot="1">
      <c r="A15" s="50" t="n"/>
      <c r="B15" s="50" t="n"/>
      <c r="C15" s="50" t="n"/>
      <c r="D15" s="278" t="n"/>
      <c r="E15" s="52" t="n"/>
    </row>
    <row r="16">
      <c r="E16" s="55" t="inlineStr">
        <is>
          <t>FM-WI-FSM-036-A01</t>
        </is>
      </c>
    </row>
    <row r="17">
      <c r="E17" s="55"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topLeftCell="A2" zoomScale="110" zoomScaleNormal="110" workbookViewId="0">
      <selection activeCell="C13" sqref="C13"/>
    </sheetView>
  </sheetViews>
  <sheetFormatPr baseColWidth="10" defaultColWidth="8.6640625" defaultRowHeight="16"/>
  <cols>
    <col width="18.5" customWidth="1" style="78" min="1" max="1"/>
    <col width="44" customWidth="1" style="78" min="2" max="2"/>
    <col width="18.6640625" customWidth="1" style="78" min="3" max="3"/>
    <col width="17" customWidth="1" style="78" min="4" max="4"/>
    <col width="8.6640625" customWidth="1" style="78" min="5" max="16384"/>
  </cols>
  <sheetData>
    <row r="1" ht="38" customHeight="1">
      <c r="A1" s="231" t="inlineStr">
        <is>
          <t>產品文件
Product Document</t>
        </is>
      </c>
      <c r="E1" s="231" t="n"/>
    </row>
    <row r="2" ht="18" customHeight="1">
      <c r="B2" s="79" t="n"/>
      <c r="C2" s="79" t="n"/>
      <c r="D2" s="80" t="inlineStr">
        <is>
          <t>FM-WI-FSM-036-A01</t>
        </is>
      </c>
      <c r="E2" s="231" t="n"/>
      <c r="F2" s="231" t="n"/>
      <c r="G2" s="231" t="n"/>
      <c r="H2" s="231" t="n"/>
    </row>
    <row r="3" ht="33" customHeight="1">
      <c r="A3" s="82" t="inlineStr">
        <is>
          <t>專案代號
Project Code</t>
        </is>
      </c>
      <c r="B3" s="279" t="inlineStr">
        <is>
          <t>new R1L</t>
        </is>
      </c>
      <c r="C3" s="280" t="n"/>
      <c r="D3" s="281" t="n"/>
      <c r="E3" s="83" t="n"/>
      <c r="F3" s="83" t="n"/>
      <c r="G3" s="83" t="n"/>
      <c r="H3" s="83" t="n"/>
    </row>
    <row r="4" ht="33" customHeight="1">
      <c r="A4" s="82" t="inlineStr">
        <is>
          <t>文件名稱
Document Name</t>
        </is>
      </c>
      <c r="B4" s="235" t="inlineStr">
        <is>
          <t>FM-WI-FSM-036-A01 測試用例規範與結果_SWQT Test Case Specification &amp; Result_SWQT_CFTS025_PlayerFunctions</t>
        </is>
      </c>
      <c r="C4" s="252" t="n"/>
      <c r="D4" s="247" t="n"/>
    </row>
    <row r="5" ht="33" customHeight="1">
      <c r="A5" s="82" t="inlineStr">
        <is>
          <t>版本
Version</t>
        </is>
      </c>
      <c r="B5" s="229" t="inlineStr">
        <is>
          <t>V1.0</t>
        </is>
      </c>
      <c r="C5" s="252" t="n"/>
      <c r="D5" s="247" t="n"/>
    </row>
    <row r="6" ht="33" customHeight="1">
      <c r="A6" s="82" t="inlineStr">
        <is>
          <t>部門
Prepared Dep.</t>
        </is>
      </c>
      <c r="B6" s="229" t="inlineStr">
        <is>
          <t>SW Testing</t>
        </is>
      </c>
      <c r="C6" s="252" t="n"/>
      <c r="D6" s="247" t="n"/>
    </row>
    <row r="7" ht="33" customHeight="1">
      <c r="A7" s="82" t="inlineStr">
        <is>
          <t>分類
Classification</t>
        </is>
      </c>
      <c r="B7" s="229" t="inlineStr">
        <is>
          <t>Confidential</t>
        </is>
      </c>
      <c r="C7" s="252" t="n"/>
      <c r="D7" s="247" t="n"/>
    </row>
    <row r="8" ht="33" customHeight="1">
      <c r="A8" s="82" t="inlineStr">
        <is>
          <t>日期
Date</t>
        </is>
      </c>
      <c r="B8" s="230" t="n">
        <v>46055</v>
      </c>
      <c r="C8" s="252" t="n"/>
      <c r="D8" s="247" t="n"/>
    </row>
    <row r="11" ht="38.5" customHeight="1">
      <c r="A11" s="231" t="inlineStr">
        <is>
          <t>文件修訂歷史
Document Amendment History</t>
        </is>
      </c>
    </row>
    <row r="12" ht="17" customHeight="1">
      <c r="A12" s="235" t="inlineStr">
        <is>
          <t>版本Version</t>
        </is>
      </c>
      <c r="B12" s="84" t="inlineStr">
        <is>
          <t>修訂內容Revision Content</t>
        </is>
      </c>
      <c r="C12" s="85" t="inlineStr">
        <is>
          <t>作者Author</t>
        </is>
      </c>
      <c r="D12" s="85" t="inlineStr">
        <is>
          <t>日期Date</t>
        </is>
      </c>
    </row>
    <row r="13" ht="19" customHeight="1">
      <c r="A13" s="93" t="inlineStr">
        <is>
          <t>V1.0</t>
        </is>
      </c>
      <c r="B13" s="93" t="inlineStr">
        <is>
          <t>Initial Release 初版發布</t>
        </is>
      </c>
      <c r="C13" s="157" t="inlineStr">
        <is>
          <t>許珮瑜 PeiPYHsu</t>
        </is>
      </c>
      <c r="D13" s="102" t="n">
        <v>46055</v>
      </c>
    </row>
    <row r="14">
      <c r="A14" s="82" t="n"/>
      <c r="B14" s="85" t="n"/>
      <c r="C14" s="85" t="n"/>
      <c r="D14" s="85" t="n"/>
    </row>
    <row r="15">
      <c r="A15" s="82" t="n"/>
      <c r="B15" s="86" t="n"/>
      <c r="C15" s="87" t="n"/>
      <c r="D15" s="85" t="n"/>
    </row>
    <row r="16">
      <c r="A16" s="82" t="n"/>
      <c r="B16" s="86" t="n"/>
      <c r="C16" s="87" t="n"/>
      <c r="D16" s="85"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22"/>
  <sheetViews>
    <sheetView showGridLines="0" tabSelected="1" zoomScale="120" zoomScaleNormal="120" workbookViewId="0">
      <selection activeCell="F10" sqref="F10"/>
    </sheetView>
  </sheetViews>
  <sheetFormatPr baseColWidth="10" defaultColWidth="9" defaultRowHeight="13"/>
  <cols>
    <col width="2.83203125" customWidth="1" style="96" min="1" max="1"/>
    <col width="8.6640625" bestFit="1" customWidth="1" style="70" min="2" max="2"/>
    <col width="24.5" bestFit="1" customWidth="1" style="96" min="3" max="3"/>
    <col width="26.83203125" customWidth="1" style="70" min="4" max="4"/>
    <col hidden="1" width="11.83203125" customWidth="1" style="96" min="5" max="5"/>
    <col width="19.6640625" bestFit="1" customWidth="1" style="70" min="6" max="6"/>
    <col width="14.5" bestFit="1" customWidth="1" style="70" min="7" max="7"/>
    <col width="13.6640625" bestFit="1" customWidth="1" style="96" min="8" max="8"/>
    <col width="33.6640625" customWidth="1" style="133" min="9" max="9"/>
    <col width="24.1640625" customWidth="1" style="99" min="10" max="10"/>
    <col width="25.5" customWidth="1" style="129" min="11" max="11"/>
    <col width="40" customWidth="1" style="129" min="12" max="12"/>
    <col width="41" customWidth="1" style="133" min="13" max="13"/>
    <col width="23.33203125" customWidth="1" style="96" min="14" max="14"/>
    <col width="14.6640625" customWidth="1" style="96" min="15" max="15"/>
    <col width="16.6640625" customWidth="1" style="96" min="16" max="16"/>
    <col width="16.1640625" customWidth="1" style="156" min="17" max="17"/>
    <col width="19.1640625" customWidth="1" style="96" min="18" max="18"/>
    <col width="14.33203125" customWidth="1" style="96" min="19" max="19"/>
    <col hidden="1" outlineLevel="1" width="12.33203125" customWidth="1" style="96" min="20" max="20"/>
    <col hidden="1" outlineLevel="1" width="10.5" customWidth="1" style="96" min="21" max="21"/>
    <col hidden="1" outlineLevel="1" width="19.6640625" customWidth="1" style="96" min="22" max="22"/>
    <col hidden="1" outlineLevel="1" width="15.6640625" customWidth="1" style="96" min="23" max="23"/>
    <col hidden="1" outlineLevel="1" width="14.33203125" customWidth="1" style="99" min="24" max="24"/>
    <col hidden="1" outlineLevel="1" width="14.6640625" customWidth="1" style="96" min="25" max="25"/>
    <col hidden="1" outlineLevel="1" width="11.6640625" customWidth="1" style="96" min="26" max="26"/>
    <col collapsed="1" width="13.1640625" bestFit="1" customWidth="1" style="96" min="27" max="27"/>
    <col width="9.6640625" bestFit="1" customWidth="1" style="96" min="28" max="28"/>
    <col width="15.33203125" bestFit="1" customWidth="1" style="96" min="29" max="29"/>
    <col width="15.33203125" customWidth="1" style="96" min="30" max="30"/>
    <col width="10.6640625" bestFit="1" customWidth="1" style="96" min="31" max="31"/>
    <col width="14.5" bestFit="1" customWidth="1" style="96" min="32" max="32"/>
    <col width="10.83203125" bestFit="1" customWidth="1" style="96" min="33" max="33"/>
    <col width="33.6640625" customWidth="1" style="96" min="34" max="34"/>
    <col width="9" customWidth="1" style="96" min="35" max="16384"/>
  </cols>
  <sheetData>
    <row r="1" ht="57.25" customFormat="1" customHeight="1" s="61">
      <c r="A1" s="164" t="inlineStr">
        <is>
          <t xml:space="preserve">STLA 測試用例規範和結果_SWQT
STLA Test Case Specification &amp; Result_SWQT </t>
        </is>
      </c>
      <c r="AF1" s="60" t="n"/>
      <c r="AG1" s="60" t="n"/>
      <c r="AH1" s="60" t="n"/>
    </row>
    <row r="2" ht="14" customFormat="1" customHeight="1" s="61">
      <c r="B2" s="65" t="n"/>
      <c r="C2" s="62" t="inlineStr">
        <is>
          <t>專案名稱 Project  Name：</t>
        </is>
      </c>
      <c r="D2" s="94" t="inlineStr">
        <is>
          <t>newR1L</t>
        </is>
      </c>
      <c r="E2" s="64" t="n"/>
      <c r="F2" s="65" t="n"/>
      <c r="G2" s="65" t="n"/>
      <c r="H2" s="66" t="n"/>
      <c r="I2" s="66" t="n"/>
      <c r="J2" s="94" t="n"/>
      <c r="M2" s="133" t="n"/>
    </row>
    <row r="3" ht="14" customFormat="1" customHeight="1" s="61">
      <c r="B3" s="65" t="n"/>
      <c r="C3" s="62" t="inlineStr">
        <is>
          <t>審查者 Reviewer：</t>
        </is>
      </c>
      <c r="D3" s="63" t="n"/>
      <c r="E3" s="64" t="n"/>
      <c r="F3" s="65" t="n"/>
      <c r="G3" s="65" t="n"/>
      <c r="H3" s="66" t="n"/>
      <c r="I3" s="66" t="n"/>
      <c r="J3" s="94" t="n"/>
      <c r="M3" s="138" t="n"/>
      <c r="N3" s="62" t="n"/>
      <c r="O3" s="62" t="n"/>
      <c r="P3" s="66" t="n"/>
      <c r="Q3" s="66" t="n"/>
      <c r="R3" s="66" t="n"/>
      <c r="S3" s="66" t="n"/>
      <c r="T3" s="66" t="n"/>
      <c r="U3" s="66" t="n"/>
      <c r="V3" s="66" t="n"/>
      <c r="W3" s="66" t="n"/>
    </row>
    <row r="4" ht="14" customFormat="1" customHeight="1" s="61">
      <c r="B4" s="65" t="n"/>
      <c r="C4" s="62" t="inlineStr">
        <is>
          <t>目的 Purpose：</t>
        </is>
      </c>
      <c r="D4" s="63" t="n"/>
      <c r="E4" s="64" t="n"/>
      <c r="F4" s="65" t="n"/>
      <c r="G4" s="65" t="n"/>
      <c r="H4" s="67" t="n"/>
      <c r="I4" s="67" t="n"/>
      <c r="J4" s="67" t="n"/>
      <c r="K4" s="67" t="n"/>
      <c r="L4" s="67" t="n"/>
      <c r="M4" s="139" t="n"/>
      <c r="N4" s="67" t="n"/>
      <c r="O4" s="67" t="n"/>
      <c r="P4" s="67" t="n"/>
      <c r="Q4" s="67" t="n"/>
      <c r="R4" s="67" t="n"/>
      <c r="S4" s="67" t="n"/>
      <c r="T4" s="67" t="n"/>
      <c r="U4" s="67" t="n"/>
      <c r="V4" s="67" t="n"/>
      <c r="W4" s="67" t="n"/>
      <c r="X4" s="67" t="n"/>
      <c r="Y4" s="67" t="n"/>
      <c r="Z4" s="67" t="n"/>
    </row>
    <row r="5" ht="14" customFormat="1" customHeight="1" s="61">
      <c r="B5" s="100" t="n"/>
      <c r="C5" s="68" t="inlineStr">
        <is>
          <t>範圍 Scope：</t>
        </is>
      </c>
      <c r="D5" s="69" t="inlineStr">
        <is>
          <t>FM-WI-SW-PSCFTS091-PLA-A04</t>
        </is>
      </c>
      <c r="E5" s="64" t="n"/>
      <c r="F5" s="65" t="n"/>
      <c r="G5" s="65" t="n"/>
      <c r="H5" s="67" t="n"/>
      <c r="I5" s="62" t="inlineStr">
        <is>
          <t>日期 Date：</t>
        </is>
      </c>
      <c r="J5" s="101" t="n">
        <v>46055</v>
      </c>
      <c r="K5" s="67" t="n"/>
      <c r="L5" s="67" t="n"/>
      <c r="M5" s="67" t="n"/>
      <c r="N5" s="67" t="n"/>
      <c r="O5" s="67" t="n"/>
      <c r="P5" s="67" t="n"/>
      <c r="Q5" s="67" t="n"/>
      <c r="R5" s="67" t="n"/>
      <c r="S5" s="67" t="n"/>
      <c r="T5" s="67" t="n"/>
      <c r="U5" s="67" t="n"/>
      <c r="V5" s="67" t="n"/>
      <c r="W5" s="67" t="n"/>
      <c r="X5" s="67" t="n"/>
      <c r="Y5" s="67" t="n"/>
      <c r="Z5" s="67" t="n"/>
      <c r="AH5" s="95" t="inlineStr">
        <is>
          <t>FM-WI-FSM-036-A01</t>
        </is>
      </c>
    </row>
    <row r="6">
      <c r="I6" s="96" t="n"/>
      <c r="K6" s="96" t="n"/>
      <c r="L6" s="96" t="n"/>
      <c r="M6" s="96" t="n"/>
    </row>
    <row r="7">
      <c r="B7" s="161" t="inlineStr">
        <is>
          <t>Test Case Specification
測試案例規格</t>
        </is>
      </c>
      <c r="C7" s="282" t="n"/>
      <c r="D7" s="282" t="n"/>
      <c r="E7" s="282" t="n"/>
      <c r="F7" s="282" t="n"/>
      <c r="G7" s="282" t="n"/>
      <c r="H7" s="282" t="n"/>
      <c r="I7" s="282" t="n"/>
      <c r="J7" s="282" t="n"/>
      <c r="K7" s="282" t="n"/>
      <c r="L7" s="282" t="n"/>
      <c r="M7" s="282" t="n"/>
      <c r="N7" s="282" t="n"/>
      <c r="O7" s="282" t="n"/>
      <c r="P7" s="282" t="n"/>
      <c r="Q7" s="282" t="n"/>
      <c r="R7" s="282" t="n"/>
      <c r="S7" s="282" t="n"/>
      <c r="T7" s="282" t="n"/>
      <c r="U7" s="282" t="n"/>
      <c r="V7" s="282" t="n"/>
      <c r="W7" s="282" t="n"/>
      <c r="X7" s="282" t="n"/>
      <c r="Y7" s="282" t="n"/>
      <c r="Z7" s="282" t="n"/>
      <c r="AA7" s="283" t="n"/>
      <c r="AB7" s="161" t="inlineStr">
        <is>
          <t>Test Result
測試結果</t>
        </is>
      </c>
      <c r="AC7" s="282" t="n"/>
      <c r="AD7" s="282" t="n"/>
      <c r="AE7" s="282" t="n"/>
      <c r="AF7" s="282" t="n"/>
      <c r="AG7" s="282" t="n"/>
      <c r="AH7" s="283" t="n"/>
    </row>
    <row r="8" ht="28" customFormat="1" customHeight="1" s="70">
      <c r="B8" s="71" t="n"/>
      <c r="C8" s="72" t="n"/>
      <c r="D8" s="72" t="n"/>
      <c r="E8" s="72" t="n"/>
      <c r="F8" s="72" t="n"/>
      <c r="G8" s="72" t="n"/>
      <c r="H8" s="72" t="n"/>
      <c r="I8" s="72" t="n"/>
      <c r="J8" s="72" t="inlineStr">
        <is>
          <t xml:space="preserve">
</t>
        </is>
      </c>
      <c r="K8" s="72" t="inlineStr">
        <is>
          <t xml:space="preserve">
</t>
        </is>
      </c>
      <c r="L8" s="72" t="n"/>
      <c r="M8" s="72" t="n"/>
      <c r="N8" s="72" t="n"/>
      <c r="O8" s="73" t="n"/>
      <c r="P8" s="74" t="n"/>
      <c r="Q8" s="74" t="n"/>
      <c r="R8" s="72" t="n"/>
      <c r="S8" s="72" t="n"/>
      <c r="T8" s="160" t="inlineStr">
        <is>
          <t>Vehicle Model 車型</t>
        </is>
      </c>
      <c r="U8" s="282" t="n"/>
      <c r="V8" s="282" t="n"/>
      <c r="W8" s="282" t="n"/>
      <c r="X8" s="282" t="n"/>
      <c r="Y8" s="282" t="n"/>
      <c r="Z8" s="283" t="n"/>
      <c r="AA8" s="72" t="inlineStr">
        <is>
          <t xml:space="preserve">
</t>
        </is>
      </c>
      <c r="AB8" s="72" t="n"/>
      <c r="AC8" s="72" t="n"/>
      <c r="AD8" s="72" t="n"/>
      <c r="AE8" s="72" t="n"/>
      <c r="AF8" s="74" t="n"/>
      <c r="AG8" s="74" t="n"/>
      <c r="AH8" s="72" t="n"/>
    </row>
    <row r="9" ht="56" customFormat="1" customHeight="1" s="75">
      <c r="B9" s="90" t="inlineStr">
        <is>
          <t>No.#
序號</t>
        </is>
      </c>
      <c r="C9" s="74" t="inlineStr">
        <is>
          <t>Requirement or Design
ID (Polarion)
設計/需求 ID (Polarion)</t>
        </is>
      </c>
      <c r="D9" s="74" t="inlineStr">
        <is>
          <t>Requirement or Design ID
需求/設計 ID</t>
        </is>
      </c>
      <c r="E9" s="74" t="inlineStr">
        <is>
          <t>Test Case ID (TestRail)
測試用例 ID (TestRail)</t>
        </is>
      </c>
      <c r="F9" s="74" t="inlineStr">
        <is>
          <t>Test Case ID
測試用例ID</t>
        </is>
      </c>
      <c r="G9" s="74" t="inlineStr">
        <is>
          <t>Test Group
測試組</t>
        </is>
      </c>
      <c r="H9" s="74" t="inlineStr">
        <is>
          <t>Test Set
測試集</t>
        </is>
      </c>
      <c r="I9" s="74" t="inlineStr">
        <is>
          <t>Test Item
測試項目</t>
        </is>
      </c>
      <c r="J9" s="74" t="inlineStr">
        <is>
          <t>Pre-Conditions
先前條件</t>
        </is>
      </c>
      <c r="K9" s="74" t="inlineStr">
        <is>
          <t>Input Test Data
輸入條件</t>
        </is>
      </c>
      <c r="L9" s="74" t="inlineStr">
        <is>
          <t>Test procedure
測試程序</t>
        </is>
      </c>
      <c r="M9" s="74" t="inlineStr">
        <is>
          <t>Expected Result
預期結果</t>
        </is>
      </c>
      <c r="N9" s="74" t="inlineStr">
        <is>
          <t>Specification Reference 
規格參考</t>
        </is>
      </c>
      <c r="O9" s="74" t="inlineStr">
        <is>
          <t>Test Case Reference ID
測項參考ID</t>
        </is>
      </c>
      <c r="P9" s="74" t="inlineStr">
        <is>
          <t>Test Case Priority
測試用例優先級別</t>
        </is>
      </c>
      <c r="Q9" s="92" t="inlineStr">
        <is>
          <t>Estimated Test Time (mins)
預估測試時間
（分鐘）</t>
        </is>
      </c>
      <c r="R9" s="74" t="inlineStr">
        <is>
          <t>Test Case Design 
Methods
測試用例設計方法</t>
        </is>
      </c>
      <c r="S9" s="74" t="inlineStr">
        <is>
          <t>Functional Safety
功能安全</t>
        </is>
      </c>
      <c r="T9" s="72" t="inlineStr">
        <is>
          <t xml:space="preserve">HDCC27
Atl-Hi
</t>
        </is>
      </c>
      <c r="U9" s="72" t="inlineStr">
        <is>
          <t xml:space="preserve">DT27
Atl-Hi
</t>
        </is>
      </c>
      <c r="V9" s="72" t="inlineStr">
        <is>
          <t>VF(ProMaster)637
Atl-Mi</t>
        </is>
      </c>
      <c r="W9" s="72" t="inlineStr">
        <is>
          <t>Commander (598)
Atl-Mi</t>
        </is>
      </c>
      <c r="X9" s="72" t="inlineStr">
        <is>
          <t>Regengade (5210)
Atl-Mi</t>
        </is>
      </c>
      <c r="Y9" s="72" t="inlineStr">
        <is>
          <t>Toro(2261)
Atl-Mi</t>
        </is>
      </c>
      <c r="Z9" s="72" t="inlineStr">
        <is>
          <t>Fastack (376)
Atl-Mi</t>
        </is>
      </c>
      <c r="AA9" s="74" t="inlineStr">
        <is>
          <t>Test Case Author
測試案例作者</t>
        </is>
      </c>
      <c r="AB9" s="74" t="inlineStr">
        <is>
          <t>Test Version
測試版號</t>
        </is>
      </c>
      <c r="AC9" s="74" t="inlineStr">
        <is>
          <t>Test Vehicle
(Bench)
測試車型(Bench)</t>
        </is>
      </c>
      <c r="AD9" s="74" t="inlineStr">
        <is>
          <t>Test Period
測試期間</t>
        </is>
      </c>
      <c r="AE9" s="74" t="inlineStr">
        <is>
          <t>Tester
測試者</t>
        </is>
      </c>
      <c r="AF9" s="74" t="inlineStr">
        <is>
          <t>Test Result
測試結果</t>
        </is>
      </c>
      <c r="AG9" s="74" t="inlineStr">
        <is>
          <t>Defect ID
缺陷ID</t>
        </is>
      </c>
      <c r="AH9" s="74" t="inlineStr">
        <is>
          <t>Remarks
備註</t>
        </is>
      </c>
    </row>
    <row r="10" ht="122.5" customHeight="1">
      <c r="B10" s="104">
        <f>IF(ISBLANK($D95),"",ROW()-9)</f>
        <v/>
      </c>
      <c r="C10" s="120" t="inlineStr">
        <is>
          <t>NRL-132788</t>
        </is>
      </c>
      <c r="D10" s="106" t="inlineStr">
        <is>
          <t>SWE1-PLA-026-01</t>
        </is>
      </c>
      <c r="E10" s="105" t="n"/>
      <c r="F10" s="107" t="inlineStr">
        <is>
          <t>NR1L-Player-086</t>
        </is>
      </c>
      <c r="G10" s="104" t="inlineStr">
        <is>
          <t>Player</t>
        </is>
      </c>
      <c r="H10" s="104" t="inlineStr">
        <is>
          <t>Playback Control</t>
        </is>
      </c>
      <c r="I10" s="123" t="inlineStr">
        <is>
          <t>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
(Long press "Skip Back" softkey → HU entLong press "Skip Back" softkey for at least 500 ms during BTSA playback → HU enters Fast Rewind state)</t>
        </is>
      </c>
      <c r="J10" s="108" t="inlineStr">
        <is>
          <t>1. One BTSA-capable device is available.</t>
        </is>
      </c>
      <c r="K10" s="136" t="n"/>
      <c r="L10" s="144" t="inlineStr">
        <is>
          <t>1. Connect the BTSA-capable device to the HU.
2. Press "Media" icon on menu bar.
3. Select "Source" tab.
4. Select the BTSA device as the active media source.
5. Start playback of a media item from the BTSA device.
6. Navigate to the Playing screen.
7. Long press the "Skip Back" softkey for at least 500 ms.
8. Check the playback control state after the long press.</t>
        </is>
      </c>
      <c r="M10" s="145" t="inlineStr">
        <is>
          <t>1. The BTSA device is connected successfully.
2. The Media page is displayed.
3. The Source Tab is displayed.
4. The BTSA source is activated.
5. Playback starts.
6. The Playing screen is displayed.
7. The long press action is accepted.
8. HU enters Fast Rewind state.</t>
        </is>
      </c>
      <c r="N10" s="103" t="inlineStr">
        <is>
          <t>CFTS025-4876633
Media HMI Logic and Flow R1 SR24 Post 2A (July 25th, 2023) - PC2.2, PC6.3,</t>
        </is>
      </c>
      <c r="O10" s="109" t="inlineStr">
        <is>
          <t>NEW</t>
        </is>
      </c>
      <c r="P10" s="104" t="inlineStr">
        <is>
          <t>P0</t>
        </is>
      </c>
      <c r="Q10" s="76" t="n"/>
      <c r="R10" s="104" t="inlineStr">
        <is>
          <t>狀態轉換 (State Transition Testing)</t>
        </is>
      </c>
      <c r="S10" s="104" t="inlineStr">
        <is>
          <t>NA</t>
        </is>
      </c>
      <c r="T10" s="104" t="n">
        <v>1</v>
      </c>
      <c r="U10" s="104" t="n">
        <v>1</v>
      </c>
      <c r="V10" s="104" t="n">
        <v>1</v>
      </c>
      <c r="W10" s="104" t="n">
        <v>1</v>
      </c>
      <c r="X10" s="104" t="n">
        <v>1</v>
      </c>
      <c r="Y10" s="109" t="n">
        <v>1</v>
      </c>
      <c r="Z10" s="104" t="n">
        <v>1</v>
      </c>
      <c r="AA10" s="104" t="inlineStr">
        <is>
          <t>Pei</t>
        </is>
      </c>
      <c r="AB10" s="97" t="n"/>
      <c r="AC10" s="97" t="n"/>
      <c r="AD10" s="97" t="n"/>
      <c r="AE10" s="97" t="n"/>
      <c r="AF10" s="97" t="n"/>
      <c r="AG10" s="97" t="n"/>
      <c r="AH10" s="97" t="n"/>
    </row>
    <row r="11" ht="126.5" customHeight="1">
      <c r="B11" s="104">
        <f>IF(ISBLANK($D96),"",ROW()-9)</f>
        <v/>
      </c>
      <c r="C11" s="120" t="inlineStr">
        <is>
          <t>NRL-132788</t>
        </is>
      </c>
      <c r="D11" s="106" t="inlineStr">
        <is>
          <t>SWE1-PLA-026-01</t>
        </is>
      </c>
      <c r="E11" s="105" t="n"/>
      <c r="F11" s="107" t="inlineStr">
        <is>
          <t>NR1L-Player-087</t>
        </is>
      </c>
      <c r="G11" s="104" t="inlineStr">
        <is>
          <t>Player</t>
        </is>
      </c>
      <c r="H11" s="104" t="inlineStr">
        <is>
          <t>Playback Control</t>
        </is>
      </c>
      <c r="I11" s="123" t="inlineStr">
        <is>
          <t>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
(Hold "Skip Back" in Fast Rewind state when playback time is detectable → Progress bar slider moves backward continuously)</t>
        </is>
      </c>
      <c r="J11" s="108" t="inlineStr">
        <is>
          <t>1.One BTSA-capable device that provides valid playback time metadata is available.</t>
        </is>
      </c>
      <c r="K11" s="136" t="n"/>
      <c r="L11" s="144" t="inlineStr">
        <is>
          <t>1. Connect the BTSA-capable device to the HU.
2. Press "Media" icon on menu bar.
3. Select "Source" tab.
4. Select the BTSA device as the active media source.
5. Start playback of a media item from the BTSA device.
6. Navigate to the Playing screen.
7. Allow playback time to progress beyond the initial position.
8. Record the initial position of the progress bar slider.
9. Long press and hold the "Skip Back" softkey for at least 500 ms.
10. Continue holding the "Skip Back" softkey.
11. Check the progress bar slider movement during the hold period.</t>
        </is>
      </c>
      <c r="M11" s="145" t="inlineStr">
        <is>
          <t>1. The BTSA device is connected successfully.
2. The Media page is displayed.
3. The Source Tab is displayed.
4. The BTSA source is activated.
5. Playback starts with valid playback time metadata.
6. The Playing screen is displayed.
7. Playback time progresses beyond the initial position.
8. The initial progress bar slider position is recorded.
9. HU enters Fast Rewind state.
10. Fast Rewind state is maintained while the softkey is held.
11. The progress bar slider moves backward continuously according to the detected current playback time.</t>
        </is>
      </c>
      <c r="N11" s="103" t="inlineStr">
        <is>
          <t>CFTS025-4876633
Media HMI Logic and Flow R1 SR24 Post 2A (July 25th, 2023) - PC2.2, PC6.3,</t>
        </is>
      </c>
      <c r="O11" s="109" t="inlineStr">
        <is>
          <t>NEW</t>
        </is>
      </c>
      <c r="P11" s="104" t="inlineStr">
        <is>
          <t>P0</t>
        </is>
      </c>
      <c r="Q11" s="76" t="n"/>
      <c r="R11" s="104" t="inlineStr">
        <is>
          <t>狀態轉換 (State Transition Testing)</t>
        </is>
      </c>
      <c r="S11" s="104" t="inlineStr">
        <is>
          <t>NA</t>
        </is>
      </c>
      <c r="T11" s="104" t="n">
        <v>1</v>
      </c>
      <c r="U11" s="104" t="n">
        <v>1</v>
      </c>
      <c r="V11" s="104" t="n">
        <v>1</v>
      </c>
      <c r="W11" s="104" t="n">
        <v>1</v>
      </c>
      <c r="X11" s="104" t="n">
        <v>1</v>
      </c>
      <c r="Y11" s="109" t="n">
        <v>1</v>
      </c>
      <c r="Z11" s="104" t="n">
        <v>1</v>
      </c>
      <c r="AA11" s="104" t="inlineStr">
        <is>
          <t>Pei</t>
        </is>
      </c>
      <c r="AB11" s="97" t="n"/>
      <c r="AC11" s="97" t="n"/>
      <c r="AD11" s="97" t="n"/>
      <c r="AE11" s="97" t="n"/>
      <c r="AF11" s="97" t="n"/>
      <c r="AG11" s="97" t="n"/>
      <c r="AH11" s="97" t="n"/>
    </row>
    <row r="12" ht="140" customHeight="1">
      <c r="B12" s="104">
        <f>IF(ISBLANK($D97),"",ROW()-9)</f>
        <v/>
      </c>
      <c r="C12" s="120" t="inlineStr">
        <is>
          <t>NRL-132789</t>
        </is>
      </c>
      <c r="D12" s="106" t="inlineStr">
        <is>
          <t>SWE1-PLA-026-02</t>
        </is>
      </c>
      <c r="E12" s="105" t="n"/>
      <c r="F12" s="107" t="inlineStr">
        <is>
          <t>NR1L-Player-088</t>
        </is>
      </c>
      <c r="G12" s="104" t="inlineStr">
        <is>
          <t>Player</t>
        </is>
      </c>
      <c r="H12" s="104" t="inlineStr">
        <is>
          <t>Playback Control</t>
        </is>
      </c>
      <c r="I12" s="123" t="inlineStr">
        <is>
          <t>When the user long presses(500 ms) the ‘Skip Back’ softkey, the HU shall enter the Fast Rewind state.
PC2.2) Long press on Skip buttons (500 msec) to fast forward/rewind (redundant to moving slider on progress bar)
PC6.3.1) If the HU is not able to detect the current time during the fast seek the slider will maintain its position until the user ends the fast seek, at that time makes the slider move to the new position.
(Hold "Skip Back" in Fast Rewind state when playback time is undetectable → Progress bar slider remains static during hold and updates after release)</t>
        </is>
      </c>
      <c r="J12" s="108" t="inlineStr">
        <is>
          <t>1. One BTSA-capable device that does not provide playback time metadata is available.</t>
        </is>
      </c>
      <c r="K12" s="136" t="n"/>
      <c r="L12" s="144" t="inlineStr">
        <is>
          <t>1. Connect the BTSA-capable device to the HU.
2. Press "Media" icon on menu bar.
3. Select "Source" tab.
4. Select the BTSA device as the active media source.
5. Start playback of a media item from the BTSA device.
6. Navigate to the Playing screen.
7. Record the initial position of the progress bar slider.
8. Long press and hold the "Skip Back" softkey for at least 500 ms.
9. Continue holding the "Skip Back" softkey for several seconds.
10. Check the progress bar slider position during the hold period.
11. Release the "Skip Back" softkey.
12. Check the progress bar slider position after release.</t>
        </is>
      </c>
      <c r="M12" s="145" t="inlineStr">
        <is>
          <t>1. The BTSA device is connected successfully.
2. The Media page is displayed.
3. The Source Tab is displayed.
4. The BTSA source is activated.
5. Playback starts without playback time metadata.
6. The Playing screen is displayed.
7. The initial progress bar slider position is recorded.
8. HU enters Fast Rewind state.
9. Fast Rewind state is maintained while the softkey is held.
10. The progress bar slider remains at the initial position during the hold period.
11. The Fast Rewind hold action ends.
12. The progress bar slider updates to the new playback position after release..</t>
        </is>
      </c>
      <c r="N12" s="103" t="inlineStr">
        <is>
          <t>CFTS025-4876633
Media HMI Logic and Flow R1 SR24 Post 2A (July 25th, 2023) - PC2.2, PC6.3.1</t>
        </is>
      </c>
      <c r="O12" s="109" t="inlineStr">
        <is>
          <t>NEW</t>
        </is>
      </c>
      <c r="P12" s="104" t="inlineStr">
        <is>
          <t>P0</t>
        </is>
      </c>
      <c r="Q12" s="76" t="n"/>
      <c r="R12" s="104" t="inlineStr">
        <is>
          <t>狀態轉換 (State Transition Testing)</t>
        </is>
      </c>
      <c r="S12" s="104" t="inlineStr">
        <is>
          <t>NA</t>
        </is>
      </c>
      <c r="T12" s="104" t="n">
        <v>1</v>
      </c>
      <c r="U12" s="104" t="n">
        <v>1</v>
      </c>
      <c r="V12" s="104" t="n">
        <v>1</v>
      </c>
      <c r="W12" s="104" t="n">
        <v>1</v>
      </c>
      <c r="X12" s="104" t="n">
        <v>1</v>
      </c>
      <c r="Y12" s="109" t="n">
        <v>1</v>
      </c>
      <c r="Z12" s="104" t="n">
        <v>1</v>
      </c>
      <c r="AA12" s="104" t="inlineStr">
        <is>
          <t>Pei</t>
        </is>
      </c>
      <c r="AB12" s="97" t="n"/>
      <c r="AC12" s="97" t="n"/>
      <c r="AD12" s="97" t="n"/>
      <c r="AE12" s="97" t="n"/>
      <c r="AF12" s="97" t="n"/>
      <c r="AG12" s="97" t="n"/>
      <c r="AH12" s="97" t="n"/>
    </row>
    <row r="13" ht="141.5" customHeight="1">
      <c r="B13" s="104">
        <f>IF(ISBLANK($D98),"",ROW()-9)</f>
        <v/>
      </c>
      <c r="C13" s="120" t="inlineStr">
        <is>
          <t>NRL-132790</t>
        </is>
      </c>
      <c r="D13" s="106" t="inlineStr">
        <is>
          <t>SWE1-PLA-027</t>
        </is>
      </c>
      <c r="E13" s="105" t="n"/>
      <c r="F13" s="107" t="inlineStr">
        <is>
          <t>NR1L-Player-089</t>
        </is>
      </c>
      <c r="G13" s="104" t="inlineStr">
        <is>
          <t>Player</t>
        </is>
      </c>
      <c r="H13" s="104" t="inlineStr">
        <is>
          <t>Playback Control</t>
        </is>
      </c>
      <c r="I13" s="123" t="inlineStr">
        <is>
          <t>The HU shall be able to control the BTSA Device by invoking a “Play” function.
PC1.1) Play Controls consist of Skip Forward/Skip Back, Play/Pause, Repeat, Shuffle, and Progress Bar.
(BTSA playback is paused and Playing screen is displayed → Play softkey is displayed in Play Controls area)</t>
        </is>
      </c>
      <c r="J13" s="108" t="inlineStr">
        <is>
          <t>1. One BTSA-capable device containing at least one playable media item is available.</t>
        </is>
      </c>
      <c r="K13" s="136" t="n"/>
      <c r="L13" s="144" t="inlineStr">
        <is>
          <t>1. Connect the BTSA-capable device to the HU.
2. Press "Media" icon on menu bar.
3. Select "Source" tab.
4. Select the BTSA device as the active media source.
5. Start playback of a media item from the BTSA device.
6. Navigate to the Playing screen.
7. Press the "Pause" softkey to pause playback.
8. Check the Play Controls area on the Playing screen.</t>
        </is>
      </c>
      <c r="M13" s="145" t="inlineStr">
        <is>
          <t>1. The BTSA device is connected successfully.
2. The Media page is displayed.
3. The Source Tab is displayed.
4. The BTSA source is activated.
5. Playback starts.
6. The Playing screen is displayed.
7. Playback is paused.
8. The Play Controls area is displayed and includes the "Play" softkey.</t>
        </is>
      </c>
      <c r="N13" s="103" t="inlineStr">
        <is>
          <t>CFTS025-4876648
Media HMI Logic and Flow R1 SR24 Post 2A (July 25th, 2023) - MN 10, PC1.1, PC3.1</t>
        </is>
      </c>
      <c r="O13" s="109" t="inlineStr">
        <is>
          <t>NEW</t>
        </is>
      </c>
      <c r="P13" s="104" t="inlineStr">
        <is>
          <t>P0</t>
        </is>
      </c>
      <c r="Q13" s="76" t="n"/>
      <c r="R13" s="104" t="inlineStr">
        <is>
          <t>狀態轉換 (State Transition Testing)</t>
        </is>
      </c>
      <c r="S13" s="104" t="inlineStr">
        <is>
          <t>NA</t>
        </is>
      </c>
      <c r="T13" s="104" t="n">
        <v>1</v>
      </c>
      <c r="U13" s="104" t="n">
        <v>1</v>
      </c>
      <c r="V13" s="104" t="n">
        <v>1</v>
      </c>
      <c r="W13" s="104" t="n">
        <v>1</v>
      </c>
      <c r="X13" s="104" t="n">
        <v>1</v>
      </c>
      <c r="Y13" s="109" t="n">
        <v>1</v>
      </c>
      <c r="Z13" s="104" t="n">
        <v>1</v>
      </c>
      <c r="AA13" s="104" t="inlineStr">
        <is>
          <t>Pei</t>
        </is>
      </c>
      <c r="AB13" s="97" t="n"/>
      <c r="AC13" s="97" t="n"/>
      <c r="AD13" s="97" t="n"/>
      <c r="AE13" s="97" t="n"/>
      <c r="AF13" s="97" t="n"/>
      <c r="AG13" s="97" t="n"/>
      <c r="AH13" s="97" t="n"/>
    </row>
    <row r="14" ht="139.75" customHeight="1">
      <c r="B14" s="104">
        <f>IF(ISBLANK($D99),"",ROW()-9)</f>
        <v/>
      </c>
      <c r="C14" s="120" t="inlineStr">
        <is>
          <t>NRL-132790</t>
        </is>
      </c>
      <c r="D14" s="106" t="inlineStr">
        <is>
          <t>SWE1-PLA-027</t>
        </is>
      </c>
      <c r="E14" s="105" t="n"/>
      <c r="F14" s="107" t="inlineStr">
        <is>
          <t>NR1L-Player-090</t>
        </is>
      </c>
      <c r="G14" s="104" t="inlineStr">
        <is>
          <t>Player</t>
        </is>
      </c>
      <c r="H14" s="104" t="inlineStr">
        <is>
          <t>Playback Control</t>
        </is>
      </c>
      <c r="I14" s="123" t="inlineStr">
        <is>
          <t>The HU shall be able to control the BTSA Device by invoking a “Play” function.
PC1.1) Play Controls consist of Skip Forward/Skip Back, Play/Pause, Repeat, Shuffle, and Progress Bar.
(Select "Play" softkey when BTSA playback is paused → Audio playback starts and Play softkey changes to Pause)</t>
        </is>
      </c>
      <c r="J14" s="108" t="inlineStr">
        <is>
          <t>1. One BTSA-capable device containing at least one playable media item is available.</t>
        </is>
      </c>
      <c r="K14" s="136" t="n"/>
      <c r="L14" s="144" t="inlineStr">
        <is>
          <t>1. Connect the BTSA-capable device to the HU.
2. Press "Media" icon on menu bar.
3. Select "Source" tab.
4. Select the BTSA device as the active media source.
5. Start playback of a media item from the BTSA device.
6. Navigate to the Playing screen.
7. Press the "Pause" softkey to pause playback.
8. Press the "Play" softkey in the Play Controls area.
9. Check the playback state and Play/Pause softkey state after selecting "Play".</t>
        </is>
      </c>
      <c r="M14" s="145" t="inlineStr">
        <is>
          <t>1. The BTSA device is connected successfully.
2. The Media page is displayed.
3. The Source Tab is displayed.
4. The BTSA source is activated.
5. Playback starts.
6. The Playing screen is displayed.
7. Playback is paused and the "Play" softkey is displayed.
8. The Play command is sent to the BTSA device.
9. Audio playback starts, and the "Play" softkey changes to the "Pause" softkey.</t>
        </is>
      </c>
      <c r="N14" s="103" t="inlineStr">
        <is>
          <t>CFTS025-4876648
Media HMI Logic and Flow R1 SR24 Post 2A (July 25th, 2023) - MN 10, PC1.1, PC3.1</t>
        </is>
      </c>
      <c r="O14" s="104" t="inlineStr">
        <is>
          <t>#SYTD-IF-PLA_FUN-02584-v01#</t>
        </is>
      </c>
      <c r="P14" s="104" t="inlineStr">
        <is>
          <t>P0</t>
        </is>
      </c>
      <c r="Q14" s="76" t="n"/>
      <c r="R14" s="104" t="inlineStr">
        <is>
          <t>狀態轉換 (State Transition Testing)</t>
        </is>
      </c>
      <c r="S14" s="104" t="inlineStr">
        <is>
          <t>NA</t>
        </is>
      </c>
      <c r="T14" s="104" t="n">
        <v>1</v>
      </c>
      <c r="U14" s="104" t="n">
        <v>1</v>
      </c>
      <c r="V14" s="104" t="n">
        <v>1</v>
      </c>
      <c r="W14" s="104" t="n">
        <v>1</v>
      </c>
      <c r="X14" s="104" t="n">
        <v>1</v>
      </c>
      <c r="Y14" s="109" t="n">
        <v>1</v>
      </c>
      <c r="Z14" s="104" t="n">
        <v>1</v>
      </c>
      <c r="AA14" s="104" t="inlineStr">
        <is>
          <t>Pei</t>
        </is>
      </c>
      <c r="AB14" s="97" t="n"/>
      <c r="AC14" s="97" t="n"/>
      <c r="AD14" s="97" t="n"/>
      <c r="AE14" s="97" t="n"/>
      <c r="AF14" s="97" t="n"/>
      <c r="AG14" s="97" t="n"/>
      <c r="AH14" s="97" t="n"/>
    </row>
    <row r="15" ht="137.5" customHeight="1">
      <c r="B15" s="104">
        <f>IF(ISBLANK($D100),"",ROW()-9)</f>
        <v/>
      </c>
      <c r="C15" s="120" t="inlineStr">
        <is>
          <t>NRL-132791</t>
        </is>
      </c>
      <c r="D15" s="106" t="inlineStr">
        <is>
          <t>SWE1-PLA-028</t>
        </is>
      </c>
      <c r="E15" s="105" t="n"/>
      <c r="F15" s="107" t="inlineStr">
        <is>
          <t>NR1L-Player-091</t>
        </is>
      </c>
      <c r="G15" s="104" t="inlineStr">
        <is>
          <t>Player</t>
        </is>
      </c>
      <c r="H15" s="104" t="inlineStr">
        <is>
          <t>Playback Control</t>
        </is>
      </c>
      <c r="I15" s="123" t="inlineStr">
        <is>
          <t xml:space="preserve">While the HU determines the Bluetooth Device is in the Play state the HU shall display a 'Pause' softkey on the appropriate BTSA Source screens.
PC3.1) When the audio is playing, the pause icon will be shown.
(When audio playback is active on the BTSA source → Pause softkey is displayed in the Play Controls area)
</t>
        </is>
      </c>
      <c r="J15" s="108" t="inlineStr">
        <is>
          <t>1. One BTSA-capable device containing at least one playable media item is available.</t>
        </is>
      </c>
      <c r="K15" s="136" t="n"/>
      <c r="L15" s="144" t="inlineStr">
        <is>
          <t>1. Connect the BTSA-capable device to the HU.
2. Press "Media" icon on menu bar.
3. Select "Source" tab.
4. Select the BTSA device as the active media source.
5. Start playback of a media item from the BTSA device.
6. Navigate to the Playing screen.
7. Check the Play Controls area on the Playing screen.</t>
        </is>
      </c>
      <c r="M15" s="145" t="inlineStr">
        <is>
          <t>1. The BTSA device is connected successfully.
2. The Media page is displayed.
3. The Source Tab is displayed.
4. The BTSA source is activated.
5. Audio playback is active.
6. The Playing screen is displayed.
7. The Play Controls area is displayed and includes the "Pause" softkey.</t>
        </is>
      </c>
      <c r="N15" s="103" t="inlineStr">
        <is>
          <t>CFTS025-4876651
Media HMI Logic and Flow R1 SR24 Post 2A (July 25th, 2023) - PC3.1</t>
        </is>
      </c>
      <c r="O15" s="104" t="inlineStr">
        <is>
          <t>#SYTD-IF-PLA_FUN-02646-v01#</t>
        </is>
      </c>
      <c r="P15" s="104" t="inlineStr">
        <is>
          <t>P0</t>
        </is>
      </c>
      <c r="Q15" s="76" t="n"/>
      <c r="R15" s="104" t="inlineStr">
        <is>
          <t>狀態轉換 (State Transition Testing)</t>
        </is>
      </c>
      <c r="S15" s="104" t="inlineStr">
        <is>
          <t>NA</t>
        </is>
      </c>
      <c r="T15" s="104" t="n">
        <v>1</v>
      </c>
      <c r="U15" s="104" t="n">
        <v>1</v>
      </c>
      <c r="V15" s="104" t="n">
        <v>1</v>
      </c>
      <c r="W15" s="104" t="n">
        <v>1</v>
      </c>
      <c r="X15" s="104" t="n">
        <v>1</v>
      </c>
      <c r="Y15" s="109" t="n">
        <v>1</v>
      </c>
      <c r="Z15" s="104" t="n">
        <v>1</v>
      </c>
      <c r="AA15" s="104" t="inlineStr">
        <is>
          <t>Pei</t>
        </is>
      </c>
      <c r="AB15" s="97" t="n"/>
      <c r="AC15" s="97" t="n"/>
      <c r="AD15" s="97" t="n"/>
      <c r="AE15" s="97" t="n"/>
      <c r="AF15" s="97" t="n"/>
      <c r="AG15" s="97" t="n"/>
      <c r="AH15" s="97" t="n"/>
    </row>
    <row r="16" ht="136.75" customHeight="1">
      <c r="B16" s="104">
        <f>IF(ISBLANK($D101),"",ROW()-9)</f>
        <v/>
      </c>
      <c r="C16" s="120" t="inlineStr">
        <is>
          <t>NRL-132793</t>
        </is>
      </c>
      <c r="D16" s="106" t="inlineStr">
        <is>
          <t>SWE1-PLA-029-01</t>
        </is>
      </c>
      <c r="E16" s="105" t="n"/>
      <c r="F16" s="107" t="inlineStr">
        <is>
          <t>NR1L-Player-092</t>
        </is>
      </c>
      <c r="G16" s="104" t="inlineStr">
        <is>
          <t>Player</t>
        </is>
      </c>
      <c r="H16" s="104" t="inlineStr">
        <is>
          <t>Playback Control</t>
        </is>
      </c>
      <c r="I16" s="123" t="inlineStr">
        <is>
          <t>The HU shall provide a “Pause” softkey on the Play Controls area of Playing Tab for the “Pause” function..
PC1.1) Play Controls consist of Skip Forward/Skip Back, Play/Pause, Repeat, Shuffle, and Progress Bar.
(When audio playback is active on the BTSA source → Pause softkey is displayed in the Play Controls area)</t>
        </is>
      </c>
      <c r="J16" s="108" t="inlineStr">
        <is>
          <t>1. One BTSA-capable device containing at least one playable media item is available.</t>
        </is>
      </c>
      <c r="K16" s="136" t="n"/>
      <c r="L16" s="144" t="inlineStr">
        <is>
          <t>1. Connect the BTSA-capable device to the HU.
2. Press "Media" icon on menu bar.
3. Select "Source" tab.
4. Select the BTSA device as the active media source.
5. Start playback of a media item from the BTSA device.
6. Navigate to the Playing screen.
7. Check the Play Controls area on the Playing screen.</t>
        </is>
      </c>
      <c r="M16" s="145" t="inlineStr">
        <is>
          <t>1. The BTSA device is connected successfully.
2. The Media page is displayed.
3. The Source Tab is displayed.
4. The BTSA source is activated.
5. Audio playback is active.
6. The Playing screen is displayed.
7. The Play Controls area is displayed and includes the "Pause" softkey.</t>
        </is>
      </c>
      <c r="N16" s="103" t="inlineStr">
        <is>
          <t>CFTS025-4876653
Media HMI Logic and Flow R1 SR24 Post 2A (July 25th, 2023) - MN 10, PC1.1</t>
        </is>
      </c>
      <c r="O16" s="109" t="inlineStr">
        <is>
          <t>NEW</t>
        </is>
      </c>
      <c r="P16" s="104" t="inlineStr">
        <is>
          <t>P0</t>
        </is>
      </c>
      <c r="Q16" s="76" t="n"/>
      <c r="R16" s="104" t="inlineStr">
        <is>
          <t>狀態轉換 (State Transition Testing)</t>
        </is>
      </c>
      <c r="S16" s="104" t="inlineStr">
        <is>
          <t>NA</t>
        </is>
      </c>
      <c r="T16" s="104" t="n">
        <v>1</v>
      </c>
      <c r="U16" s="104" t="n">
        <v>1</v>
      </c>
      <c r="V16" s="104" t="n">
        <v>1</v>
      </c>
      <c r="W16" s="104" t="n">
        <v>1</v>
      </c>
      <c r="X16" s="104" t="n">
        <v>1</v>
      </c>
      <c r="Y16" s="109" t="n">
        <v>1</v>
      </c>
      <c r="Z16" s="104" t="n">
        <v>1</v>
      </c>
      <c r="AA16" s="104" t="inlineStr">
        <is>
          <t>Pei</t>
        </is>
      </c>
      <c r="AB16" s="97" t="n"/>
      <c r="AC16" s="97" t="n"/>
      <c r="AD16" s="97" t="n"/>
      <c r="AE16" s="97" t="n"/>
      <c r="AF16" s="97" t="n"/>
      <c r="AG16" s="97" t="n"/>
      <c r="AH16" s="97" t="n"/>
    </row>
    <row r="17" ht="153.5" customHeight="1">
      <c r="B17" s="104">
        <f>IF(ISBLANK($D102),"",ROW()-9)</f>
        <v/>
      </c>
      <c r="C17" s="120" t="inlineStr">
        <is>
          <t>NRL-132794</t>
        </is>
      </c>
      <c r="D17" s="106" t="inlineStr">
        <is>
          <t>SWE1-PLA-029-02</t>
        </is>
      </c>
      <c r="E17" s="105" t="n"/>
      <c r="F17" s="107" t="inlineStr">
        <is>
          <t>NR1L-Player-093</t>
        </is>
      </c>
      <c r="G17" s="104" t="inlineStr">
        <is>
          <t>Player</t>
        </is>
      </c>
      <c r="H17" s="104" t="inlineStr">
        <is>
          <t>Playback Control</t>
        </is>
      </c>
      <c r="I17" s="123" t="inlineStr">
        <is>
          <t>While the HU determines the Bluetooth Device is in the Pause state the HU shall display a 'Play' softkey on the appropriate BTSA Source screens.
PC1.1) Play Controls consist of Skip Forward/Skip Back, Play/Pause, Repeat, Shuffle, and Progress Bar.
PC3.1) When the audio is playing, the pause icon will be shown.
(When audio playback is paused on the BTSA source → Play softkey is displayed in the Play Controls area)</t>
        </is>
      </c>
      <c r="J17" s="108" t="inlineStr">
        <is>
          <t>1. One BTSA-capable device containing at least one playable media item is available.</t>
        </is>
      </c>
      <c r="K17" s="136" t="n"/>
      <c r="L17" s="144" t="inlineStr">
        <is>
          <t>1. Connect the BTSA-capable device to the HU.
2. Press "Media" icon on menu bar.
3. Select "Source" tab.
4. Select the BTSA device as the active media source.
5. Start playback of a media item from the BTSA device.
6. Navigate to the Playing screen.
7. Press the "Pause" softkey in the Play Controls area.
8. Check the playback state and Play/Pause softkey state after selecting "Pause".</t>
        </is>
      </c>
      <c r="M17" s="145" t="inlineStr">
        <is>
          <t>1. The BTSA device is connected successfully.
2. The Media page is displayed.
3. The Source Tab is displayed.
4. The BTSA source is activated.
5. Audio playback is active.
6. The Playing screen is displayed.
7. The Pause command is sent to the BTSA device.
8. Audio playback is paused, and the "Play" softkey is displayed in the Play Controls area.</t>
        </is>
      </c>
      <c r="N17" s="103" t="inlineStr">
        <is>
          <t>CFTS025-4876656
Media HMI Logic and Flow R1 SR24 Post 2A (July 25th, 2023) - PC1.1, PC3.1</t>
        </is>
      </c>
      <c r="O17" s="109" t="inlineStr">
        <is>
          <t>NEW</t>
        </is>
      </c>
      <c r="P17" s="104" t="inlineStr">
        <is>
          <t>P0</t>
        </is>
      </c>
      <c r="Q17" s="76" t="n"/>
      <c r="R17" s="104" t="inlineStr">
        <is>
          <t>狀態轉換 (State Transition Testing)</t>
        </is>
      </c>
      <c r="S17" s="104" t="inlineStr">
        <is>
          <t>NA</t>
        </is>
      </c>
      <c r="T17" s="104" t="n">
        <v>1</v>
      </c>
      <c r="U17" s="104" t="n">
        <v>1</v>
      </c>
      <c r="V17" s="104" t="n">
        <v>1</v>
      </c>
      <c r="W17" s="104" t="n">
        <v>1</v>
      </c>
      <c r="X17" s="104" t="n">
        <v>1</v>
      </c>
      <c r="Y17" s="109" t="n">
        <v>1</v>
      </c>
      <c r="Z17" s="104" t="n">
        <v>1</v>
      </c>
      <c r="AA17" s="104" t="inlineStr">
        <is>
          <t>Pei</t>
        </is>
      </c>
      <c r="AB17" s="97" t="n"/>
      <c r="AC17" s="97" t="n"/>
      <c r="AD17" s="97" t="n"/>
      <c r="AE17" s="97" t="n"/>
      <c r="AF17" s="97" t="n"/>
      <c r="AG17" s="97" t="n"/>
      <c r="AH17" s="97" t="n"/>
    </row>
    <row r="18" ht="153.5" customHeight="1">
      <c r="B18" s="104">
        <f>IF(ISBLANK($D103),"",ROW()-9)</f>
        <v/>
      </c>
      <c r="C18" s="120" t="inlineStr">
        <is>
          <t>NRL-132796</t>
        </is>
      </c>
      <c r="D18" s="106" t="inlineStr">
        <is>
          <t>SWE1-PLA-030-01</t>
        </is>
      </c>
      <c r="E18" s="105" t="n"/>
      <c r="F18" s="107" t="inlineStr">
        <is>
          <t>NR1L-Player-094</t>
        </is>
      </c>
      <c r="G18" s="104" t="inlineStr">
        <is>
          <t>Player</t>
        </is>
      </c>
      <c r="H18" s="104" t="inlineStr">
        <is>
          <t>Repeat Mode</t>
        </is>
      </c>
      <c r="I18" s="123" t="inlineStr">
        <is>
          <t>The HU shall set the BTSA CE device to the Repeat All mode by default when playback is initiated.
PC4.3) Repeat All plays the current list of songs repeatedly.
(Start BTSA playback → Repeat mode is set to Repeat All by default)</t>
        </is>
      </c>
      <c r="J18" s="108" t="inlineStr">
        <is>
          <t>1. One BTSA-capable device containing at least two playable items is available.</t>
        </is>
      </c>
      <c r="K18" s="136" t="n"/>
      <c r="L18" s="144" t="inlineStr">
        <is>
          <t>1. Connect the BTSA-capable device to the HU.
2. Press "Media" icon on menu bar.
3. Select "Source" tab.
4. Select the BTSA device as the active media source.
5. Start playback of a playlist from the BTSA device.
6. Navigate to the Playing screen.
7. Check the Repeat mode state after playback is initiated.</t>
        </is>
      </c>
      <c r="M18" s="145" t="inlineStr">
        <is>
          <t>1. The BTSA device is connected successfully.
2. The Media page is displayed.
3. The Source Tab is displayed.
4. The BTSA source is activated.
5. Playlist playback starts.
6. The Playing screen is displayed.
7. Repeat mode is set to Repeat All by default.</t>
        </is>
      </c>
      <c r="N18" s="103" t="inlineStr">
        <is>
          <t>CFTS025-4876658
Media HMI Logic and Flow R1 SR24 Post 2A (July 25th, 2023) - PC4.3</t>
        </is>
      </c>
      <c r="O18" s="104" t="inlineStr">
        <is>
          <t>#SYTD-IF-PLA_FUN-02724-v01#
(Revised)</t>
        </is>
      </c>
      <c r="P18" s="104" t="inlineStr">
        <is>
          <t>P0</t>
        </is>
      </c>
      <c r="Q18" s="76" t="n"/>
      <c r="R18" s="104" t="inlineStr">
        <is>
          <t>狀態轉換 (State Transition Testing)</t>
        </is>
      </c>
      <c r="S18" s="104" t="inlineStr">
        <is>
          <t>NA</t>
        </is>
      </c>
      <c r="T18" s="104" t="n">
        <v>1</v>
      </c>
      <c r="U18" s="104" t="n">
        <v>1</v>
      </c>
      <c r="V18" s="104" t="n">
        <v>1</v>
      </c>
      <c r="W18" s="104" t="n">
        <v>1</v>
      </c>
      <c r="X18" s="104" t="n">
        <v>1</v>
      </c>
      <c r="Y18" s="109" t="n">
        <v>1</v>
      </c>
      <c r="Z18" s="104" t="n">
        <v>1</v>
      </c>
      <c r="AA18" s="104" t="inlineStr">
        <is>
          <t>Pei</t>
        </is>
      </c>
      <c r="AB18" s="97" t="n"/>
      <c r="AC18" s="97" t="n"/>
      <c r="AD18" s="97" t="n"/>
      <c r="AE18" s="97" t="n"/>
      <c r="AF18" s="97" t="n"/>
      <c r="AG18" s="97" t="n"/>
      <c r="AH18" s="97" t="n"/>
    </row>
    <row r="19" ht="184.75" customHeight="1">
      <c r="B19" s="104">
        <f>IF(ISBLANK($D104),"",ROW()-9)</f>
        <v/>
      </c>
      <c r="C19" s="120" t="inlineStr">
        <is>
          <t>NRL-132796</t>
        </is>
      </c>
      <c r="D19" s="106" t="inlineStr">
        <is>
          <t>SWE1-PLA-030-01</t>
        </is>
      </c>
      <c r="E19" s="105" t="n"/>
      <c r="F19" s="107" t="inlineStr">
        <is>
          <t>NR1L-Player-095</t>
        </is>
      </c>
      <c r="G19" s="104" t="inlineStr">
        <is>
          <t>Player</t>
        </is>
      </c>
      <c r="H19" s="104" t="inlineStr">
        <is>
          <t>Repeat Mode</t>
        </is>
      </c>
      <c r="I19" s="123" t="inlineStr">
        <is>
          <t>The HU shall set the BTSA CE device to the Repeat All mode by default when playback is initiated.
PC4.3) Repeat All plays the current list of songs repeatedly.
(Playlist reaches end in default Repeat All mode → First track restarts automatically)</t>
        </is>
      </c>
      <c r="J19" s="108" t="inlineStr">
        <is>
          <t>1. One BTSA-capable device containing a playlist with at least two playable items is available.</t>
        </is>
      </c>
      <c r="K19" s="136" t="n"/>
      <c r="L19" s="144" t="inlineStr">
        <is>
          <t>1. Connect the BTSA-capable device to the HU.
2. Press "Media" icon on menu bar.
3. Select "Source" tab.
4. Select the BTSA device as the active media source.
5. Start playback of a playlist from the BTSA device.
6. Navigate to the Playing screen.
7. Check the Repeat mode state after playback is initiated.
8. Navigate playback to the last item in the playlist.
9. Allow the last item to play until it reaches the end.
10. Check playback state after the last item finishes.</t>
        </is>
      </c>
      <c r="M19" s="145" t="inlineStr">
        <is>
          <t>1. The BTSA device is connected successfully.
2. The Media page is displayed.
3. The Source Tab is displayed.
4. The BTSA source is activated.
5. Playlist playback starts.
6. The Playing screen is displayed.
7. Repeat mode is set to Repeat All by default.
8. The last item in the playlist is playing.
9. The last item reaches the end.
10. Playback automatically continues from the first item in the playlist without stopping or pausing.</t>
        </is>
      </c>
      <c r="N19" s="103" t="inlineStr">
        <is>
          <t>CFTS025-4876658
Media HMI Logic and Flow R1 SR24 Post 2A (July 25th, 2023) - PC4.3</t>
        </is>
      </c>
      <c r="O19" s="104" t="inlineStr">
        <is>
          <t>#SYTD-IF-PLA_FUN-02724-v01#
(Revised)</t>
        </is>
      </c>
      <c r="P19" s="104" t="inlineStr">
        <is>
          <t>P0</t>
        </is>
      </c>
      <c r="Q19" s="76" t="n"/>
      <c r="R19" s="104" t="inlineStr">
        <is>
          <t>狀態轉換 (State Transition Testing)</t>
        </is>
      </c>
      <c r="S19" s="104" t="inlineStr">
        <is>
          <t>NA</t>
        </is>
      </c>
      <c r="T19" s="104" t="n">
        <v>1</v>
      </c>
      <c r="U19" s="104" t="n">
        <v>1</v>
      </c>
      <c r="V19" s="104" t="n">
        <v>1</v>
      </c>
      <c r="W19" s="104" t="n">
        <v>1</v>
      </c>
      <c r="X19" s="104" t="n">
        <v>1</v>
      </c>
      <c r="Y19" s="109" t="n">
        <v>1</v>
      </c>
      <c r="Z19" s="104" t="n">
        <v>1</v>
      </c>
      <c r="AA19" s="104" t="inlineStr">
        <is>
          <t>Pei</t>
        </is>
      </c>
      <c r="AB19" s="97" t="n"/>
      <c r="AC19" s="97" t="n"/>
      <c r="AD19" s="97" t="n"/>
      <c r="AE19" s="97" t="n"/>
      <c r="AF19" s="97" t="n"/>
      <c r="AG19" s="97" t="n"/>
      <c r="AH19" s="97" t="n"/>
    </row>
    <row r="20" ht="188.5" customHeight="1">
      <c r="B20" s="104">
        <f>IF(ISBLANK($D105),"",ROW()-9)</f>
        <v/>
      </c>
      <c r="C20" s="120" t="inlineStr">
        <is>
          <t>NRL-132797</t>
        </is>
      </c>
      <c r="D20" s="106" t="inlineStr">
        <is>
          <t>SWE1-PLA-030-02</t>
        </is>
      </c>
      <c r="E20" s="105" t="n"/>
      <c r="F20" s="107" t="inlineStr">
        <is>
          <t>NR1L-Player-096</t>
        </is>
      </c>
      <c r="G20" s="104" t="inlineStr">
        <is>
          <t>Player</t>
        </is>
      </c>
      <c r="H20" s="104" t="inlineStr">
        <is>
          <t>Repeat Mode</t>
        </is>
      </c>
      <c r="I20" s="123" t="inlineStr">
        <is>
          <t>When in Repeat All mode, the HU shall cause all items in the playlist to play sequentially and continue from the first item after the last item is finished.
PC4.3) Repeat All plays the current list of songs repeatedly.
(Non-last track reaches end in Repeat All mode → Playback continues with next track)</t>
        </is>
      </c>
      <c r="J20" s="108" t="inlineStr">
        <is>
          <t>1. One BTSA-capable device containing a playlist with at least three playable items is available.</t>
        </is>
      </c>
      <c r="K20" s="136" t="n"/>
      <c r="L20" s="144" t="inlineStr">
        <is>
          <t>1. Connect the BTSA-capable device to the HU.
2. Press "Media" icon on menu bar.
3. Select "Source" tab.
4. Select the BTSA device as the active media source.
5. Start playback of a playlist from the BTSA device.
6. Navigate to the Playing screen.
7. Set the Repeat mode to Repeat All using the Repeat softkey if it is not already in Repeat All mode.
8. Select a non-last track in the playlist.
9. Allow the selected track to play until it reaches the end.
10. Check playback state after the selected track finishes.</t>
        </is>
      </c>
      <c r="M20" s="145" t="inlineStr">
        <is>
          <t>1. The BTSA device is connected successfully.
2. The Media page is displayed.
3. The Source Tab is displayed.
4. The BTSA source is activated.
5. Playlist playback starts.
6. The Playing screen is displayed.
7. Repeat mode is set to Repeat All.
8. The selected non-last track starts playback.
9. The selected track reaches the end.
10. Playback continues with the next track in the playlist order.</t>
        </is>
      </c>
      <c r="N20" s="103" t="inlineStr">
        <is>
          <t>CFTS025-4876658
Media HMI Logic and Flow R1 SR24 Post 2A (July 25th, 2023) - PC4.3</t>
        </is>
      </c>
      <c r="O20" s="104" t="inlineStr">
        <is>
          <t>#SYTD-IF-PLA_FUN-02724-v01#
(Revised)</t>
        </is>
      </c>
      <c r="P20" s="104" t="inlineStr">
        <is>
          <t>P0</t>
        </is>
      </c>
      <c r="Q20" s="76" t="n"/>
      <c r="R20" s="104" t="inlineStr">
        <is>
          <t>狀態轉換 (State Transition Testing)</t>
        </is>
      </c>
      <c r="S20" s="104" t="inlineStr">
        <is>
          <t>NA</t>
        </is>
      </c>
      <c r="T20" s="104" t="n">
        <v>1</v>
      </c>
      <c r="U20" s="104" t="n">
        <v>1</v>
      </c>
      <c r="V20" s="104" t="n">
        <v>1</v>
      </c>
      <c r="W20" s="104" t="n">
        <v>1</v>
      </c>
      <c r="X20" s="104" t="n">
        <v>1</v>
      </c>
      <c r="Y20" s="109" t="n">
        <v>1</v>
      </c>
      <c r="Z20" s="104" t="n">
        <v>1</v>
      </c>
      <c r="AA20" s="104" t="inlineStr">
        <is>
          <t>Pei</t>
        </is>
      </c>
      <c r="AB20" s="97" t="n"/>
      <c r="AC20" s="97" t="n"/>
      <c r="AD20" s="97" t="n"/>
      <c r="AE20" s="97" t="n"/>
      <c r="AF20" s="97" t="n"/>
      <c r="AG20" s="97" t="n"/>
      <c r="AH20" s="97" t="n"/>
    </row>
    <row r="21" ht="196" customHeight="1">
      <c r="B21" s="104">
        <f>IF(ISBLANK($D106),"",ROW()-9)</f>
        <v/>
      </c>
      <c r="C21" s="120" t="inlineStr">
        <is>
          <t>NRL-132797</t>
        </is>
      </c>
      <c r="D21" s="106" t="inlineStr">
        <is>
          <t>SWE1-PLA-030-02</t>
        </is>
      </c>
      <c r="E21" s="105" t="n"/>
      <c r="F21" s="107" t="inlineStr">
        <is>
          <t>NR1L-Player-097</t>
        </is>
      </c>
      <c r="G21" s="104" t="inlineStr">
        <is>
          <t>Player</t>
        </is>
      </c>
      <c r="H21" s="104" t="inlineStr">
        <is>
          <t>Repeat Mode</t>
        </is>
      </c>
      <c r="I21" s="123" t="inlineStr">
        <is>
          <t>When in Repeat All mode, the HU shall cause all items in the playlist to play sequentially and continue from the first item after the last item is finished.
PC4.3) Repeat All plays the current list of songs repeatedly.
(Last track reaches end in Repeat All mode → Playback restarts from first track)</t>
        </is>
      </c>
      <c r="J21" s="112" t="inlineStr">
        <is>
          <t>1. One BTSA-capable device containing a playlist with at least two playable items is available.</t>
        </is>
      </c>
      <c r="K21" s="136" t="n"/>
      <c r="L21" s="144" t="inlineStr">
        <is>
          <t>1. Connect the BTSA-capable device to the HU.
2. Press "Media" icon on menu bar.
3. Select "Source" tab.
4. Select the BTSA device as the active media source.
5. Start playback of a playlist from the BTSA device.
6. Navigate to the Playing screen.
7. Set the Repeat mode to Repeat All using the 8. Repeat softkey if it is not already in Repeat All mode.
8. Navigate playback to the last item in the playlist.
9. Allow the last item to play until it reaches the end.
10. Check playback state after the last item finishes.</t>
        </is>
      </c>
      <c r="M21" s="145" t="inlineStr">
        <is>
          <t>1. The BTSA device is connected successfully.
2. The Media page is displayed.
3. The Source Tab is displayed.
4. The BTSA source is activated.
5. Playlist playback starts.
6. The Playing screen is displayed.
7. Repeat mode is set to Repeat All.
8. The last item in the playlist is playing.
9. The last item reaches the end.
10. Playback restarts from the first item in the playlist, and playback does not transition to stopped or paused state.</t>
        </is>
      </c>
      <c r="N21" s="103" t="inlineStr">
        <is>
          <t>CFTS025-4876658
Media HMI Logic and Flow R1 SR24 Post 2A (July 25th, 2023) - PC4.3</t>
        </is>
      </c>
      <c r="O21" s="104" t="inlineStr">
        <is>
          <t>#SYTD-IF-PLA_FUN-02724-v01#
(Revised)</t>
        </is>
      </c>
      <c r="P21" s="104" t="inlineStr">
        <is>
          <t>P0</t>
        </is>
      </c>
      <c r="Q21" s="76" t="n"/>
      <c r="R21" s="104" t="inlineStr">
        <is>
          <t>狀態轉換 (State Transition Testing)</t>
        </is>
      </c>
      <c r="S21" s="104" t="inlineStr">
        <is>
          <t>NA</t>
        </is>
      </c>
      <c r="T21" s="104" t="n">
        <v>1</v>
      </c>
      <c r="U21" s="104" t="n">
        <v>1</v>
      </c>
      <c r="V21" s="104" t="n">
        <v>1</v>
      </c>
      <c r="W21" s="104" t="n">
        <v>1</v>
      </c>
      <c r="X21" s="104" t="n">
        <v>1</v>
      </c>
      <c r="Y21" s="109" t="n">
        <v>1</v>
      </c>
      <c r="Z21" s="104" t="n">
        <v>1</v>
      </c>
      <c r="AA21" s="104" t="inlineStr">
        <is>
          <t>Pei</t>
        </is>
      </c>
      <c r="AB21" s="97" t="n"/>
      <c r="AC21" s="97" t="n"/>
      <c r="AD21" s="97" t="n"/>
      <c r="AE21" s="97" t="n"/>
      <c r="AF21" s="97" t="n"/>
      <c r="AG21" s="97" t="n"/>
      <c r="AH21" s="97" t="n"/>
    </row>
    <row r="22" ht="210" customHeight="1">
      <c r="B22" s="104">
        <f>IF(ISBLANK($D107),"",ROW()-9)</f>
        <v/>
      </c>
      <c r="C22" s="120" t="inlineStr">
        <is>
          <t>NRL-132798</t>
        </is>
      </c>
      <c r="D22" s="106" t="inlineStr">
        <is>
          <t>SWE1-PLA-030-03</t>
        </is>
      </c>
      <c r="E22" s="105" t="n"/>
      <c r="F22" s="107" t="inlineStr">
        <is>
          <t>NR1L-Player-098</t>
        </is>
      </c>
      <c r="G22" s="104" t="inlineStr">
        <is>
          <t>Player</t>
        </is>
      </c>
      <c r="H22" s="104" t="inlineStr">
        <is>
          <t>Repeat Mode</t>
        </is>
      </c>
      <c r="I22" s="123" t="inlineStr">
        <is>
          <t>When in Repeat Song mode, the HU shall cause the currently playing item to restart from the beginning upon reaching the end.
PC4.2) Repeat Song plays the current track repeatedly.
(Track reaches end in Repeat Song mode → Same track restarts from 00:00:00y)</t>
        </is>
      </c>
      <c r="J22" s="108" t="inlineStr">
        <is>
          <t>1.One BTSA-capable device containing at least one playable item is available.</t>
        </is>
      </c>
      <c r="K22" s="136" t="n"/>
      <c r="L22" s="144" t="inlineStr">
        <is>
          <t>1. Connect the BTSA-capable device to the HU.
2. Press "Media" icon on menu bar.
3. Select "Source" tab.
4. Select the BTSA device as the active media source.
5. Start playback of a media item from the BTSA device.
6. Navigate to the Playing screen.
7. Set the Repeat mode to Repeat Song using the Repeat softkey.
8. Record the currently playing item.
9. Allow the current item to play until it reaches the end.
10. Check the playback state after the current item finishes.</t>
        </is>
      </c>
      <c r="M22" s="145" t="inlineStr">
        <is>
          <t>1. The BTSA device is connected successfully.
2. The Media page is displayed.
3. The Source Tab is displayed.
4. The BTSA source is activated.
5. Playback starts.
6. The Playing screen is displayed.
7. Repeat mode is set to Repeat Song.
8. Current playing item is recorded.
9. The current item reaches the end.
10. Playback remains on the same item, and the play time position restarts from 00:00:00.</t>
        </is>
      </c>
      <c r="N22" s="103" t="inlineStr">
        <is>
          <t>CFTS025-4876658
Media HMI Logic and Flow R1 SR24 Post 2A (July 25th, 2023) - PC4.2</t>
        </is>
      </c>
      <c r="O22" s="104" t="inlineStr">
        <is>
          <t>#SYTD-IF-PLA_FUN-02742-v01#
(Revised)</t>
        </is>
      </c>
      <c r="P22" s="104" t="inlineStr">
        <is>
          <t>P0</t>
        </is>
      </c>
      <c r="Q22" s="76" t="n"/>
      <c r="R22" s="104" t="inlineStr">
        <is>
          <t>狀態轉換 (State Transition Testing)</t>
        </is>
      </c>
      <c r="S22" s="104" t="inlineStr">
        <is>
          <t>NA</t>
        </is>
      </c>
      <c r="T22" s="104" t="n">
        <v>1</v>
      </c>
      <c r="U22" s="104" t="n">
        <v>1</v>
      </c>
      <c r="V22" s="104" t="n">
        <v>1</v>
      </c>
      <c r="W22" s="104" t="n">
        <v>1</v>
      </c>
      <c r="X22" s="104" t="n">
        <v>1</v>
      </c>
      <c r="Y22" s="109" t="n">
        <v>1</v>
      </c>
      <c r="Z22" s="104" t="n">
        <v>1</v>
      </c>
      <c r="AA22" s="104" t="inlineStr">
        <is>
          <t>Pei</t>
        </is>
      </c>
      <c r="AB22" s="97" t="n"/>
      <c r="AC22" s="97" t="n"/>
      <c r="AD22" s="97" t="n"/>
      <c r="AE22" s="97" t="n"/>
      <c r="AF22" s="97" t="n"/>
      <c r="AG22" s="97" t="n"/>
      <c r="AH22" s="97" t="n"/>
    </row>
    <row r="23" ht="196" customHeight="1"/>
    <row r="24" ht="125.5" customHeight="1"/>
    <row r="25" ht="170.5" customHeight="1"/>
    <row r="26" ht="154.75" customHeight="1"/>
    <row r="27" ht="150" customHeight="1"/>
    <row r="28" ht="140.5" customHeight="1"/>
    <row r="29" ht="192" customHeight="1"/>
    <row r="30" ht="192" customHeight="1"/>
    <row r="31" ht="169.25" customHeight="1"/>
    <row r="32" ht="219.5" customHeight="1"/>
    <row r="33" ht="210" customHeight="1"/>
    <row r="34" ht="210" customHeight="1"/>
    <row r="35" ht="224" customHeight="1"/>
    <row r="36" ht="229.75" customHeight="1"/>
    <row r="37" ht="212.5" customHeight="1"/>
    <row r="38" ht="126" customHeight="1"/>
    <row r="39" ht="140" customHeight="1"/>
    <row r="40" ht="154" customHeight="1"/>
    <row r="41" ht="98" customHeight="1"/>
    <row r="42" ht="98" customHeight="1"/>
    <row r="43" ht="168" customHeight="1"/>
    <row r="44" ht="168" customHeight="1"/>
    <row r="45" ht="182" customHeight="1"/>
    <row r="46" ht="182" customHeight="1"/>
    <row r="47" ht="182" customHeight="1"/>
    <row r="48" ht="182" customHeight="1"/>
    <row r="49" ht="182" customHeight="1"/>
    <row r="50" ht="182" customHeight="1"/>
    <row r="51" ht="182" customHeight="1"/>
    <row r="52" ht="126" customHeight="1"/>
    <row r="53" ht="154" customHeight="1"/>
    <row r="54" ht="98" customHeight="1"/>
    <row r="55" ht="168" customHeight="1"/>
    <row r="56" ht="182" customHeight="1"/>
    <row r="57" ht="182" customHeight="1"/>
    <row r="58" ht="196" customHeight="1"/>
    <row r="59" ht="196" customHeight="1"/>
    <row r="60" ht="210" customHeight="1"/>
    <row r="61" ht="182" customHeight="1"/>
    <row r="62" ht="196" customHeight="1"/>
    <row r="63" ht="196" customHeight="1"/>
    <row r="64" ht="196" customHeight="1"/>
    <row r="65" ht="182" customHeight="1"/>
    <row r="66" ht="140" customHeight="1"/>
    <row r="67" ht="84" customHeight="1"/>
    <row r="68" ht="126" customHeight="1"/>
    <row r="69" ht="168" customHeight="1"/>
    <row r="70" ht="140" customHeight="1"/>
    <row r="71" ht="126" customHeight="1"/>
    <row r="72" ht="112" customHeight="1"/>
    <row r="73" ht="126" customHeight="1"/>
    <row r="74" ht="140" customHeight="1"/>
    <row r="75" ht="154" customHeight="1"/>
    <row r="76" ht="332" customHeight="1"/>
    <row r="77" ht="319" customHeight="1"/>
    <row r="78" ht="319" customHeight="1"/>
    <row r="79" ht="319" customHeight="1"/>
    <row r="80" ht="238" customHeight="1"/>
    <row r="81" ht="238" customHeight="1"/>
    <row r="82" ht="238" customHeight="1"/>
    <row r="83" ht="238" customHeight="1"/>
    <row r="84" ht="224" customHeight="1"/>
    <row r="85" ht="140" customHeight="1"/>
    <row r="86" ht="140" customHeight="1"/>
    <row r="87" ht="210" customHeight="1"/>
    <row r="88" ht="140" customHeight="1"/>
    <row r="89" ht="168" customFormat="1" customHeight="1" s="153"/>
    <row r="90" ht="199" customHeight="1"/>
    <row r="91" ht="210" customHeight="1"/>
    <row r="92" ht="168" customHeight="1"/>
    <row r="93" ht="168" customHeight="1"/>
    <row r="94" ht="210" customHeight="1"/>
    <row r="95" ht="210" customHeight="1"/>
    <row r="96" ht="196" customHeight="1"/>
    <row r="97" ht="238" customHeight="1"/>
    <row r="98" ht="140" customHeight="1"/>
    <row r="99" ht="140" customHeight="1"/>
    <row r="100" ht="168" customHeight="1"/>
    <row r="101" ht="154" customHeight="1"/>
    <row r="102" ht="196" customHeight="1"/>
    <row r="103" ht="126" customHeight="1"/>
    <row r="104" ht="154" customHeight="1"/>
    <row r="105" ht="154" customHeight="1"/>
    <row r="106" ht="154" customHeight="1"/>
    <row r="107" ht="168" customHeight="1"/>
    <row r="108" ht="140" customHeight="1"/>
    <row r="109" ht="168" customHeight="1"/>
    <row r="110" ht="140" customHeight="1"/>
    <row r="111" ht="168" customHeight="1"/>
    <row r="112" ht="140" customHeight="1"/>
    <row r="113" ht="182" customHeight="1"/>
    <row r="114" ht="140" customHeight="1"/>
    <row r="115" ht="140" customHeight="1"/>
    <row r="116" ht="182" customHeight="1"/>
    <row r="117" ht="168" customHeight="1"/>
    <row r="118" ht="196" customFormat="1" customHeight="1" s="153"/>
    <row r="119" ht="213.5" customHeight="1"/>
    <row r="120" ht="168" customHeight="1"/>
    <row r="121" ht="241" customHeight="1"/>
    <row r="122" ht="255" customHeight="1"/>
    <row r="123" ht="112" customHeight="1"/>
    <row r="124" ht="126" customHeight="1"/>
    <row r="125" ht="224" customHeight="1"/>
    <row r="126" ht="238" customHeight="1"/>
    <row r="127" ht="98" customHeight="1"/>
    <row r="128" ht="112" customHeight="1"/>
    <row r="129" ht="168" customHeight="1"/>
    <row r="130" ht="210" customHeight="1"/>
    <row r="131" ht="224" customHeight="1"/>
    <row r="132" ht="224" customHeight="1"/>
    <row r="133" ht="168" customHeight="1"/>
    <row r="134" ht="168" customHeight="1"/>
    <row r="135" ht="182" customHeight="1"/>
    <row r="136" ht="168" customHeight="1"/>
    <row r="137" ht="182" customHeight="1"/>
    <row r="138" ht="168" customHeight="1"/>
    <row r="139" ht="168" customHeight="1"/>
    <row r="140" ht="196" customHeight="1"/>
    <row r="141" ht="168" customHeight="1"/>
    <row r="142" ht="168" customHeight="1"/>
    <row r="143" ht="140" customHeight="1"/>
    <row r="144" ht="154" customHeight="1"/>
    <row r="145" ht="182" customHeight="1"/>
    <row r="146" ht="112" customHeight="1"/>
    <row r="147" ht="126" customHeight="1"/>
    <row r="148" ht="112" customHeight="1"/>
    <row r="149" ht="154" customHeight="1"/>
    <row r="150" ht="140" customHeight="1"/>
    <row r="151" ht="126" customHeight="1"/>
    <row r="152" ht="126" customHeight="1"/>
    <row r="153" ht="126" customHeight="1"/>
    <row r="154" ht="126" customHeight="1"/>
    <row r="155" ht="126" customHeight="1"/>
    <row r="156" ht="154" customHeight="1"/>
    <row r="157" ht="140" customHeight="1"/>
    <row r="158" ht="154" customHeight="1"/>
    <row r="159" ht="84" customHeight="1"/>
    <row r="160" ht="112" customHeight="1"/>
    <row r="161" ht="182" customHeight="1"/>
    <row r="162" ht="98" customHeight="1"/>
    <row r="163" ht="98" customHeight="1"/>
    <row r="164" ht="224" customHeight="1"/>
    <row r="165" ht="210" customHeight="1"/>
    <row r="166" ht="224" customHeight="1"/>
    <row r="167" ht="14" customHeight="1"/>
    <row r="168" ht="14" customHeight="1"/>
    <row r="169" ht="14" customHeight="1"/>
    <row r="170" ht="14" customHeight="1"/>
    <row r="171" ht="14" customHeight="1"/>
    <row r="172" ht="14" customHeight="1"/>
    <row r="173" ht="14" customHeight="1"/>
    <row r="174" ht="14" customHeight="1"/>
    <row r="175" ht="14" customHeight="1"/>
    <row r="176" ht="14" customHeight="1"/>
    <row r="177" ht="14" customHeight="1"/>
    <row r="178" ht="14" customHeight="1"/>
    <row r="179" ht="14" customHeight="1"/>
    <row r="180" ht="14" customHeight="1"/>
    <row r="181" ht="14" customHeight="1"/>
    <row r="182" ht="14" customHeight="1"/>
    <row r="183" ht="14" customHeight="1"/>
    <row r="184" ht="14" customHeight="1"/>
    <row r="185" ht="14" customHeight="1"/>
    <row r="186" ht="14" customHeight="1"/>
    <row r="187" ht="14" customHeight="1"/>
    <row r="188" ht="14" customHeight="1"/>
    <row r="189" ht="14" customHeight="1"/>
    <row r="190" ht="14" customHeight="1"/>
    <row r="191" ht="14" customHeight="1"/>
    <row r="192" ht="14" customHeight="1"/>
    <row r="193" ht="14" customHeight="1"/>
    <row r="194" ht="14" customHeight="1"/>
    <row r="195" ht="14" customHeight="1"/>
    <row r="196" ht="14" customHeight="1"/>
    <row r="197" ht="14" customHeight="1"/>
    <row r="198" ht="14" customHeight="1"/>
    <row r="199" ht="14" customHeight="1"/>
    <row r="200" ht="14" customHeight="1"/>
    <row r="201" ht="14" customHeight="1"/>
    <row r="202" ht="14" customHeight="1"/>
    <row r="203" ht="14" customHeight="1"/>
    <row r="204" ht="14" customHeight="1"/>
    <row r="205" ht="14" customHeight="1"/>
    <row r="206" ht="14" customHeight="1"/>
    <row r="207" ht="14" customHeight="1"/>
    <row r="208" ht="14" customHeight="1"/>
    <row r="209" ht="14" customHeight="1"/>
    <row r="210" ht="14" customHeight="1"/>
    <row r="211" ht="14" customHeight="1"/>
    <row r="212" ht="14" customHeight="1"/>
    <row r="213" ht="14" customHeight="1"/>
    <row r="214" ht="14" customHeight="1"/>
    <row r="215" ht="14" customHeight="1"/>
    <row r="216" ht="14" customHeight="1"/>
    <row r="217" ht="14" customHeight="1"/>
    <row r="218" ht="14" customHeight="1"/>
    <row r="219" ht="14" customHeight="1"/>
    <row r="220" ht="14" customHeight="1"/>
    <row r="221" ht="14" customHeight="1"/>
    <row r="222" ht="14" customHeight="1"/>
    <row r="223" ht="14" customHeight="1"/>
    <row r="224" ht="14" customHeight="1"/>
    <row r="225" ht="14" customHeight="1"/>
    <row r="226" ht="14" customHeight="1"/>
    <row r="227" ht="14" customHeight="1"/>
    <row r="228" ht="14" customHeight="1"/>
    <row r="229" ht="14" customHeight="1"/>
    <row r="230" ht="14" customHeight="1"/>
    <row r="231" ht="14" customHeight="1"/>
    <row r="232" ht="14" customHeight="1"/>
    <row r="233" ht="14" customHeight="1"/>
    <row r="234" ht="14" customHeight="1"/>
    <row r="235" ht="14" customHeight="1"/>
    <row r="236" ht="14" customHeight="1"/>
    <row r="237" ht="14" customHeight="1"/>
    <row r="238" ht="14" customHeight="1"/>
    <row r="239" ht="14" customHeight="1"/>
    <row r="240" ht="14" customHeight="1"/>
    <row r="241" ht="14" customHeight="1"/>
    <row r="242" ht="14" customHeight="1"/>
    <row r="243" ht="14" customHeight="1"/>
    <row r="244" ht="14" customHeight="1"/>
    <row r="245" ht="14" customHeight="1"/>
    <row r="246" ht="14" customHeight="1"/>
    <row r="247" ht="14" customHeight="1"/>
    <row r="248" ht="14" customHeight="1"/>
    <row r="249" ht="14" customHeight="1"/>
    <row r="250" ht="14" customHeight="1"/>
    <row r="251" ht="14" customHeight="1"/>
    <row r="252" ht="14" customHeight="1"/>
    <row r="253" ht="14" customHeight="1"/>
    <row r="254" ht="14" customHeight="1"/>
    <row r="255" ht="14" customHeight="1"/>
    <row r="256" ht="14" customHeight="1"/>
    <row r="257" ht="14" customHeight="1"/>
    <row r="258" ht="14" customHeight="1"/>
    <row r="259" ht="14" customHeight="1"/>
    <row r="260" ht="14" customHeight="1"/>
    <row r="261" ht="14" customHeight="1"/>
    <row r="262" ht="14" customHeight="1"/>
    <row r="263" ht="14" customHeight="1"/>
    <row r="264" ht="14" customHeight="1"/>
    <row r="265" ht="14" customHeight="1"/>
    <row r="266" ht="14" customHeight="1"/>
    <row r="267" ht="14" customHeight="1"/>
    <row r="268" ht="14" customHeight="1"/>
    <row r="269" ht="14" customHeight="1"/>
    <row r="270" ht="14" customHeight="1"/>
    <row r="271" ht="14" customHeight="1"/>
    <row r="272" ht="14" customHeight="1"/>
    <row r="273" ht="14" customHeight="1"/>
    <row r="274" ht="14" customHeight="1"/>
    <row r="275" ht="14" customHeight="1"/>
    <row r="276" ht="14" customHeight="1"/>
    <row r="277" ht="14" customHeight="1"/>
    <row r="278" ht="14" customHeight="1"/>
  </sheetData>
  <mergeCells count="4">
    <mergeCell ref="A1:AE1"/>
    <mergeCell ref="B7:AA7"/>
    <mergeCell ref="AB7:AH7"/>
    <mergeCell ref="T8:Z8"/>
  </mergeCells>
  <dataValidations count="3">
    <dataValidation sqref="AF10:AF13" showDropDown="0" showInputMessage="1" showErrorMessage="1" allowBlank="1" type="list">
      <formula1>"Pass, Fail, Pending,Block,NA"</formula1>
    </dataValidation>
    <dataValidation sqref="P10:P166 Q10:Q278" showDropDown="0" showInputMessage="1" showErrorMessage="1" allowBlank="1" type="list">
      <formula1>"P0,P1,P2,P3"</formula1>
    </dataValidation>
    <dataValidation sqref="T10:X166 Z10:Z166" showDropDown="0" showInputMessage="1" showErrorMessage="1" allowBlank="1" type="list">
      <formula1>"0,1"</formula1>
    </dataValidation>
  </dataValidations>
  <hyperlinks>
    <hyperlink xmlns:r="http://schemas.openxmlformats.org/officeDocument/2006/relationships" ref="C95" r:id="rId1"/>
    <hyperlink xmlns:r="http://schemas.openxmlformats.org/officeDocument/2006/relationships" ref="C96" r:id="rId2"/>
    <hyperlink xmlns:r="http://schemas.openxmlformats.org/officeDocument/2006/relationships" ref="C97" r:id="rId3"/>
    <hyperlink xmlns:r="http://schemas.openxmlformats.org/officeDocument/2006/relationships" ref="C98" r:id="rId4"/>
    <hyperlink xmlns:r="http://schemas.openxmlformats.org/officeDocument/2006/relationships" ref="C99" r:id="rId5"/>
    <hyperlink xmlns:r="http://schemas.openxmlformats.org/officeDocument/2006/relationships" ref="C100" r:id="rId6"/>
    <hyperlink xmlns:r="http://schemas.openxmlformats.org/officeDocument/2006/relationships" ref="C101" r:id="rId7"/>
    <hyperlink xmlns:r="http://schemas.openxmlformats.org/officeDocument/2006/relationships" ref="C102" r:id="rId8"/>
    <hyperlink xmlns:r="http://schemas.openxmlformats.org/officeDocument/2006/relationships" ref="C103" r:id="rId9"/>
    <hyperlink xmlns:r="http://schemas.openxmlformats.org/officeDocument/2006/relationships" ref="C104" r:id="rId10"/>
    <hyperlink xmlns:r="http://schemas.openxmlformats.org/officeDocument/2006/relationships" ref="C105" r:id="rId11"/>
    <hyperlink xmlns:r="http://schemas.openxmlformats.org/officeDocument/2006/relationships" ref="C106" r:id="rId12"/>
    <hyperlink xmlns:r="http://schemas.openxmlformats.org/officeDocument/2006/relationships" ref="C107" r:id="rId13"/>
  </hyperlinks>
  <pageMargins left="0.7" right="0.7" top="0.75" bottom="0.75" header="0.3" footer="0.3"/>
  <pageSetup orientation="portrait" paperSize="9"/>
  <drawing xmlns:r="http://schemas.openxmlformats.org/officeDocument/2006/relationships" r:id="rId14"/>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1"/>
  <sheetViews>
    <sheetView showGridLines="0" topLeftCell="A4" zoomScale="115" zoomScaleNormal="115" workbookViewId="0">
      <selection activeCell="X15" sqref="X15"/>
    </sheetView>
  </sheetViews>
  <sheetFormatPr baseColWidth="10" defaultColWidth="8.83203125" defaultRowHeight="15"/>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3:F20"/>
  <sheetViews>
    <sheetView topLeftCell="B1" zoomScale="150" zoomScaleNormal="150"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9.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239" min="2" max="2"/>
    <col width="9" customWidth="1" style="239" min="3" max="16384"/>
  </cols>
  <sheetData>
    <row r="1">
      <c r="A1" s="239" t="inlineStr">
        <is>
          <t>25/10/15 QS確認後建議</t>
        </is>
      </c>
    </row>
    <row r="2">
      <c r="A2" s="37" t="n">
        <v>1</v>
      </c>
      <c r="B2" s="239" t="inlineStr">
        <is>
          <t>表單 : 增加中文敘述</t>
        </is>
      </c>
    </row>
    <row r="3">
      <c r="A3" s="37" t="n">
        <v>2</v>
      </c>
      <c r="B3" s="239" t="inlineStr">
        <is>
          <t>表單 : 增加Functional safety 功能安全辨別欄位；為符合公司有ISO26262</t>
        </is>
      </c>
    </row>
    <row r="4">
      <c r="A4" s="37" t="n">
        <v>3</v>
      </c>
      <c r="B4" s="239" t="inlineStr">
        <is>
          <t>表單 : 增加時間紀錄欄位；為符合ASPICE SWE6.BP4 13-50 工作產品特性</t>
        </is>
      </c>
    </row>
    <row r="5">
      <c r="A5" s="37" t="n">
        <v>4</v>
      </c>
      <c r="B5" s="239" t="inlineStr">
        <is>
          <t>表單 : Priority與SWRA分法統一呈現，高High，中Medium，低Low，不適用NA</t>
        </is>
      </c>
    </row>
    <row r="6">
      <c r="A6" s="37" t="n">
        <v>5</v>
      </c>
      <c r="B6" s="239" t="inlineStr">
        <is>
          <t>程序書 : Table3 測試案例設計方法修改為所更新方法 (黃標)</t>
        </is>
      </c>
    </row>
    <row r="7">
      <c r="A7" s="37" t="n">
        <v>6</v>
      </c>
      <c r="B7" s="239" t="inlineStr">
        <is>
          <t>程序書 : 6.2.6.b~e，修改為更新後時間紀錄項描述 (黃標)</t>
        </is>
      </c>
    </row>
    <row r="8">
      <c r="A8" s="37" t="n">
        <v>7</v>
      </c>
      <c r="B8" s="239" t="inlineStr">
        <is>
          <t>程序書 : 刪除i、J、l (黃標黑字刪除線)</t>
        </is>
      </c>
    </row>
    <row r="9">
      <c r="A9" s="37" t="n">
        <v>8</v>
      </c>
      <c r="B9" s="239" t="inlineStr">
        <is>
          <t>程序書 : Table7 測試案例範本更新 (黃標)</t>
        </is>
      </c>
    </row>
    <row r="10">
      <c r="A10" s="37" t="n">
        <v>9</v>
      </c>
      <c r="B10" s="239"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11"/>
  <sheetViews>
    <sheetView workbookViewId="0">
      <selection activeCell="J7" sqref="J7"/>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2026-06-25T13:04:38Z</dcterms:modified>
</cp:coreProperties>
</file>