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peihe/Work/02_Project_R1LR/10_Reviewing/00_TestCase/SWC/"/>
    </mc:Choice>
  </mc:AlternateContent>
  <xr:revisionPtr revIDLastSave="0" documentId="13_ncr:1_{11375342-47DD-3040-8C91-C921D3FE3A41}" xr6:coauthVersionLast="47" xr6:coauthVersionMax="47" xr10:uidLastSave="{00000000-0000-0000-0000-000000000000}"/>
  <bookViews>
    <workbookView xWindow="25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 測試用例規範" sheetId="6" r:id="rId6"/>
    <sheet name="Reference" sheetId="7" r:id="rId7"/>
    <sheet name="QS Suggestion" sheetId="8" state="hidden" r:id="rId8"/>
    <sheet name="下拉選單" sheetId="9" state="hidden" r:id="rId9"/>
  </sheets>
  <definedNames>
    <definedName name="_xlnm._FilterDatabase" localSheetId="5" hidden="1">'Test Case Specification 測試用例規範'!$B$9:$AH$154</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6" l="1"/>
  <c r="B129" i="6"/>
  <c r="B127" i="6"/>
  <c r="B91" i="6"/>
  <c r="B88" i="6"/>
  <c r="B87" i="6"/>
  <c r="B90" i="6"/>
  <c r="B89" i="6"/>
  <c r="B85" i="6"/>
  <c r="B80" i="6"/>
  <c r="B78" i="6"/>
  <c r="B33" i="6"/>
  <c r="B31" i="6"/>
  <c r="B25" i="6"/>
  <c r="B26" i="6"/>
  <c r="B21" i="6" l="1"/>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8"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86" i="6"/>
  <c r="B84" i="6"/>
  <c r="B83" i="6"/>
  <c r="B82" i="6"/>
  <c r="B81" i="6"/>
  <c r="B79"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2" i="6"/>
  <c r="B30" i="6"/>
  <c r="B29" i="6"/>
  <c r="B28" i="6"/>
  <c r="B24" i="6"/>
  <c r="B23" i="6"/>
  <c r="B22" i="6"/>
  <c r="B20" i="6"/>
  <c r="B19" i="6"/>
  <c r="B18" i="6"/>
  <c r="B17" i="6"/>
  <c r="B16" i="6"/>
  <c r="B15" i="6"/>
  <c r="B14" i="6"/>
  <c r="B13" i="6"/>
  <c r="B12" i="6"/>
  <c r="B11" i="6"/>
  <c r="B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SWRA Polarion ID after uploads to Polarion.</t>
        </r>
      </text>
    </comment>
    <comment ref="D9" authorId="0" shapeId="0" xr:uid="{00000000-0006-0000-0500-000002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The ID is compiled by the R&amp;D during SWRA.</t>
        </r>
      </text>
    </comment>
    <comment ref="E9" authorId="0" shapeId="0" xr:uid="{00000000-0006-0000-0500-000003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 xml:space="preserve">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Test item description.</t>
        </r>
      </text>
    </comment>
    <comment ref="N9" authorId="0" shapeId="0" xr:uid="{00000000-0006-0000-0500-000008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<sst xmlns="http://schemas.openxmlformats.org/spreadsheetml/2006/main" count="1527" uniqueCount="899">
  <si>
    <t xml:space="preserve">STLA 測試用例規範和結果_SWQT
STLA Test Case Specification &amp; Result_SWQT </t>
  </si>
  <si>
    <t>專案名稱 Project  Name：</t>
  </si>
  <si>
    <t>NR1L</t>
  </si>
  <si>
    <t>審查者 Reviewer：</t>
  </si>
  <si>
    <t>目的 Purpose：</t>
  </si>
  <si>
    <t>範圍 Scope：</t>
  </si>
  <si>
    <t>日期 Date：</t>
  </si>
  <si>
    <t>2025/10/17</t>
  </si>
  <si>
    <t>FM-WI-FSM-036-A01</t>
  </si>
  <si>
    <t>Test Case Specification
測試案例規格</t>
  </si>
  <si>
    <t>Test Result
測試結果</t>
  </si>
  <si>
    <t xml:space="preserve">
</t>
  </si>
  <si>
    <t>Vehicle Model 車型</t>
  </si>
  <si>
    <t>No.#
序號</t>
  </si>
  <si>
    <t>Requirement or Design
ID (Polarion)
設計/需求 ID (Polarion)</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</si>
  <si>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</si>
  <si>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</si>
  <si>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</si>
  <si>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</si>
  <si>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</si>
  <si>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</si>
  <si>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</si>
  <si>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</si>
  <si>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</si>
  <si>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</si>
  <si>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</si>
  <si>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</si>
  <si>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Estimated Test Time (mins)
預估測試時間
（分鐘）</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</si>
  <si>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</si>
  <si>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</si>
  <si>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</si>
  <si>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</si>
  <si>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</si>
  <si>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</si>
  <si>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</si>
  <si>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</si>
  <si>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</si>
  <si>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</si>
  <si>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</si>
  <si>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</si>
  <si>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</si>
  <si>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</si>
  <si>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</si>
  <si>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</si>
  <si>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NRL-67794</t>
  </si>
  <si>
    <t>SWE1-SWC-004</t>
  </si>
  <si>
    <t>Steering Wheel Volume Down Button</t>
  </si>
  <si>
    <t xml:space="preserve">Ignition on,
power on,
Vehicle equiped with CAN
HU in Full-Operation state </t>
  </si>
  <si>
    <t>NA</t>
  </si>
  <si>
    <t>Method: Configure $SteeringWheelButtonGroups$ = [14_LIN_button_NAFTA] button and check for  volume down operation by hearing audio level.</t>
  </si>
  <si>
    <t>CFTS042-4813401</t>
  </si>
  <si>
    <t>NRL-67795</t>
  </si>
  <si>
    <t xml:space="preserve">SWE1-SWC-005       </t>
  </si>
  <si>
    <t>Steering Wheel Audio Mode Advance Button</t>
  </si>
  <si>
    <t>HW supplier shall notify the AudioModeAdvance signal via the VHAL interface.
CarPropertyService shall receive the $StWhl_AudioModeAdvance$ signal and forward it to ExternalInputKeyService.
ExternalInputKeyService shall convert the received signal into a key event.
When $SteeringWheelButtonGroups$ is configured as [14_LIN_button_NAFTA], the system shall map the key event to the function configured for the right middle button in HMI.
The system shall execute the user-configured function corresponding to the right middle steering wheel button.</t>
  </si>
  <si>
    <t>Method: Configure $SteeringWheelButtonGroups$ = [14_LIN_button_NAFTA] button and check for audio mode advance operation by hearing audio level.</t>
  </si>
  <si>
    <t>CFTS042-4813400</t>
  </si>
  <si>
    <t>NRL-67796</t>
  </si>
  <si>
    <t xml:space="preserve">SWE1-SWC-006                                                                                                                                                                                                          </t>
  </si>
  <si>
    <t>Steering Wheel Volume Up Button[Pressed}</t>
  </si>
  <si>
    <t>Method: Configure $SteeringWheelButtonGroups$ = [14_LIN_button_NAFTA] button and check for volume up operation by hearing audio level.</t>
  </si>
  <si>
    <t>CFTS042-4813399</t>
  </si>
  <si>
    <t>NRL-67797</t>
  </si>
  <si>
    <t xml:space="preserve">SWE1-SWC-007                                                                                                                                                                                                                                                                               </t>
  </si>
  <si>
    <t>Steering Wheel Seek Down Button</t>
  </si>
  <si>
    <t>HW supplier shall notify the $StWhl_SeekDown$ signal via the VHAL interface the steering wheel Seek Down button is pressed.
CarPropertyService shall receive the $StWhl_SeekDown$ signal and forward it to ExternalInputKeyService.
ExternalInputKeyService shall convert the received signal into a key event.
When $SteeringWheelButtonGroups$ is configured as [14_LIN_button_NAFTA], the system shall map the key event to the function configured for the left bottom button in HMI.
The service shall execute the user-configured function corresponding to the left bottom steering wheel button</t>
  </si>
  <si>
    <t>Method: Configure $SteeringWheelButtonGroups$ = [14_LIN_button_NAFTA] button and check for seek down operation in HMI.</t>
  </si>
  <si>
    <t>CFTS042-4813398</t>
  </si>
  <si>
    <t>NRL-67798</t>
  </si>
  <si>
    <t xml:space="preserve">SWE1-SWC-008                                                                                                                                                                                                                                                                                                                                                                                                                                                                                                                                 </t>
  </si>
  <si>
    <t>Steering Wheel Audio Preset Advance Button</t>
  </si>
  <si>
    <t>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Radio app/ services shall subscribe to the key event and take necessary action based on the configured function.
When $SteeringWheelButtonGroups$ is configured as [14_LIN_button_NAFTA], the system shall execute the function configured for the left middle button in HMI.</t>
  </si>
  <si>
    <t>Method: Configure $SteeringWheelButtonGroups$ = [14_LIN_button_NAFTA] button and check for AudioPresetAdvance in HMI.</t>
  </si>
  <si>
    <t>CFTS042-4813397</t>
  </si>
  <si>
    <t>NRL-67799</t>
  </si>
  <si>
    <t xml:space="preserve">SWE1-SWC-009                                                                                                                                                                                                                                                                               </t>
  </si>
  <si>
    <t>Steering Wheel Seek Up Button</t>
  </si>
  <si>
    <t>HW supplier shall notify the $StWhl_SeekUp$ signal via the VHAL interface when the steering wheel Seek Up button is pressed.
CarPropertyService shall receive the $StWhl_SeekUp$ signal and forward it to ExternalInputKeyService.
ExternalInputKeyService shall convert the VHAL signal into key events.
Radio/Media services shall subscribe to the key event and take necessary action based on the configured function.
When $SteeringWheelButtonGroups$ is configured as [14_LIN_button_NAFTA], the system shall execute the function configured for the left top button in HMI.</t>
  </si>
  <si>
    <t>Method: Configure $SteeringWheelButtonGroups$ = [14_LIN_button_NAFTA] button and check for seek up functioning in HMI.</t>
  </si>
  <si>
    <t>CFTS042-4813396</t>
  </si>
  <si>
    <t>NRL-67800</t>
  </si>
  <si>
    <t xml:space="preserve">SWE1-SWC-010   </t>
  </si>
  <si>
    <t>HW supplier shall notify the $StWhl_VolumeDown$ signal via the VHAL interface when the steering wheel Volume Down button is pressed.
CarPropertyService shall receive the $StWhl_VolumeDown$ signal and forward it to ExternalInputKeyService.
ExternalInputKeyService shall receive and convert the VHAL signal into key events.
When $SteeringWheelButtonGroups$ is configured as [14_LIN_button_EMEA], the system shall execute the function configured for the right bottom button in HMI.</t>
  </si>
  <si>
    <t>Method: Configure $SteeringWheelButtonGroups$ = [14_LIN_button_EMEA]  button and check for volume down operation by hearing audio level.</t>
  </si>
  <si>
    <t>CFTS042-4813407</t>
  </si>
  <si>
    <t>NRL-67801</t>
  </si>
  <si>
    <t xml:space="preserve">SWE1-SWC-011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</si>
  <si>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[14_LIN_button_EMEA], the system shall map the received key event to the function configured for the right top button in HMI.                                                                                                                                                                                                           The system shall execute the user-configured function corresponding to the right middle steering wheel button.</t>
  </si>
  <si>
    <t>Method: Configure $SteeringWheelButtonGroups$ = [14_LIN_button_EMEA]  button and check for volume up operation by hearing audio level.</t>
  </si>
  <si>
    <t>CFTS042-4813405</t>
  </si>
  <si>
    <t>NRL-67802</t>
  </si>
  <si>
    <t>SWE1-SWC-012</t>
  </si>
  <si>
    <t>HW supplier shall notify the $StWhl_SeekDown$ signal via the VHAL interface when the steering wheel Seek Down button is pressed.
CarPropertyService shall receive the $StWhl_SeekDown$ signal and forward it to ExternalInputKeyService.
ExternalInputKeyService shall receive and convert the received signal into a key event.
When $SteeringWheelButtonGroups$ is configured as [14_LIN_button_EMEA], the system shall map the received key event to the function configured for the left bottom button in HMI.                                                                                                                                                                                                                                                                                                                                                                                                                                                                     The service shall execute the user-configured function corresponding to the left bottom steering wheel button.</t>
  </si>
  <si>
    <t>Method: Configure $SteeringWheelButtonGroups$ = [14_LIN_button_EMEA]  button and check for seek down operation by hearing audio level.</t>
  </si>
  <si>
    <t>CFTS042-4813404</t>
  </si>
  <si>
    <t>NRL-67803</t>
  </si>
  <si>
    <t>SWE1-SWC-013</t>
  </si>
  <si>
    <t>HW supplier shall notify the $StWhl_SeekUp$ signal via the VHAL interface when the steering wheel Seek Up button is pressed.
CarPropertyService shall receive the $StWhl_SeekUp$ signal and forward it to ExternalInputKeyService.
ExternalInputKeyService shall receive and convert the VHAL signal into key events.
Radio/Media services shall subscribe to the key event and take necessary action based on the configured function.
When $SteeringWheelButtonGroups$ is configured as [14_LIN_button_NAFTA], the system shall execute the function configured for the left top button in HMI.</t>
  </si>
  <si>
    <t>Method: Configure $SteeringWheelButtonGroups$ = [14_LIN_button_EMEA]  button and check for seek up operation by hearing audio level.</t>
  </si>
  <si>
    <t>CFTS042-4813402</t>
  </si>
  <si>
    <t>NRL-67804</t>
  </si>
  <si>
    <t xml:space="preserve">SWE1-SWC-014                                                                                                                                                                                                                                                                                                                                                                                                                                                                                                                                                                                                                                     </t>
  </si>
  <si>
    <t>Steering Wheel Mute Button</t>
  </si>
  <si>
    <t>HW supplier shall notify the $StWhl_Mute$ signal via the VHAL interface when the steering wheel Mute button is pressed.
CarPropertyService shall receive the $StWhl_Mute$ signal and forward it to ExternalInputKeyService.
ExternalInputKeyService shall receive and convert the VHAL signal into key events.
When $SteeringWheelButtonGroups$ is configured as [14_LIN_button_EMEA], the service shall execute the function configured for the right middle button in HMI.</t>
  </si>
  <si>
    <t>Method: Configure $SteeringWheelButtonGroups$ = [14_LIN_button_EMEA]  button and check for mute operation  by hearing audio level.</t>
  </si>
  <si>
    <t>CFTS042-4813406</t>
  </si>
  <si>
    <t>NRL-67805</t>
  </si>
  <si>
    <t xml:space="preserve">SWE1-SWC-015                                                                                                                                                                                                                                                                                                                                                                                                                                                                                                                                </t>
  </si>
  <si>
    <t>NRL-67806</t>
  </si>
  <si>
    <t xml:space="preserve">                                                                                                                                                                                                                                                                                                                                                                                                                                                                                                                                                                                                                                SWE1-SWC-016                                                                                                                                                                                                                                                                                                                                                                                                                                                                                                                                     </t>
  </si>
  <si>
    <t>Method: Configure $SteeringWheelButtonGroups$ = [14_LIN_button_EMEA]  button and check for $SWC_AUX_4$ = [Pressed]</t>
  </si>
  <si>
    <t>CFTS042-4813423</t>
  </si>
  <si>
    <t>NRL-67807</t>
  </si>
  <si>
    <t>SWE1-SWC-017</t>
  </si>
  <si>
    <t>HW supplier shall notify the AudioModeAdvance signal via the VHAL interface.
CarPropertyService shall receive the $StWhl_AudioModeAdvance$ signal and forward it to ExternalInputKeyService.
ExternalInputKeyService shall receive and convert the received signal into a key event.
When $SteeringWheelButtonGroups$ is configured as [14_LIN_button_NAFTA], and AUX4 is configured as the function for the right middle steering wheel button in HMI, the system shall map the received key event to $SWC_AUX_4$.
HU shall send $SWC_AUX_4$ = [Pressed].</t>
  </si>
  <si>
    <t>Method: Configure $SteeringWheelButtonGroups$ = [14_LIN_button_NAFTA] button and check for $SWC_AUX_4$ = [Pressed]</t>
  </si>
  <si>
    <t>CFTS042-4813415</t>
  </si>
  <si>
    <t>NRL-67808</t>
  </si>
  <si>
    <t xml:space="preserve">SWE1-SWC-018 </t>
  </si>
  <si>
    <t>NRL-67809</t>
  </si>
  <si>
    <t>SWE1-SWC-019</t>
  </si>
  <si>
    <t>NRL-67810</t>
  </si>
  <si>
    <t xml:space="preserve">                                                                                                                                                                                                                                                                                                                                                                                                                                                                                                                                                                                                                                SWE1-SWC-020                                                                                                                                                                                                                                                                                                                                                                                                                                                                                                                                    </t>
  </si>
  <si>
    <t>Method: Configure $SteeringWheelButtonGroups$ = [14_LIN_button_EMEA] button and check for $SWC_AUX_3$ = [Pressed]</t>
  </si>
  <si>
    <t>CFTS042-4813422</t>
  </si>
  <si>
    <t>NRL-67811</t>
  </si>
  <si>
    <t>SWE1-SWC-021</t>
  </si>
  <si>
    <t>HW supplier shall notify the AudioModeAdvance signal via the VHAL interface.
CarPropertyService shall receive the $StWhl_AudioModeAdvance$ signal and forward it to ExternalInputKeyService.
ExternalInputKeyService shall receive and convert the received signal into a key event.
When $SteeringWheelButtonGroups$ is configured as[14_LIN_button_NAFTA], and AUX3 is configured as the function for the right middle steering wheel button in HMI.                                                                                                                                                                                                                                       the system shall map the received key event to $SWC_AUX_3$ HU shall send $SWC_AUX_3$ = [Pressed].</t>
  </si>
  <si>
    <t>Method: Configure $SteeringWheelButtonGroups$ = [14_LIN_button_NAFTA] button and check for $SWC_AUX_3$ = [Pressed]</t>
  </si>
  <si>
    <t>CFTS042-4813414</t>
  </si>
  <si>
    <t>NRL-67812</t>
  </si>
  <si>
    <t xml:space="preserve">                                                                                                                                                                                                                                                                                                                                                                                                                                                                                                                                                                                                                                SWE1-SWC-022</t>
  </si>
  <si>
    <t>NRL-67813</t>
  </si>
  <si>
    <t>SWE1-SWC-023</t>
  </si>
  <si>
    <t>NRL-67814</t>
  </si>
  <si>
    <t>SWE1-SWC-024</t>
  </si>
  <si>
    <t>Steering Wheel Mute Button  – AUX2 Mapping  – AUX2 Mapping</t>
  </si>
  <si>
    <t>HW supplier shall notify the $StWhl_Mute$ signal via the VHAL interface when the steering wheel Mute button is pressed.
CarPropertyService shall receive the $StWhl_Mute$ signal and forward it to ExternalInputKeyService.
ExternalInputKeyService shall receive and convert the VHAL signal into key events.
When $SteeringWheelButtonGroups$ is configured as [14_LIN_button_EMEA] and the user has configured AUX2 for the right middle button in HMI,
The system shall send $SWC_AUX_2$ = [Pressed].</t>
  </si>
  <si>
    <t>Method: Configure $SteeringWheelButtonGroups$ = [14_LIN_button_EMEA] button and verify for $SWC_AUX_2$ = [Pressed]</t>
  </si>
  <si>
    <t>NRL-67815</t>
  </si>
  <si>
    <t xml:space="preserve">SWE1-SWC-025  </t>
  </si>
  <si>
    <t>Steering Wheel Audio Mode Advance Button  – AUX2 Mapping</t>
  </si>
  <si>
    <t>HW supplier shall notify the $StWhl_AudioModeAdvance$ signal via the VHAL interface .
CarPropertyService shall receive the $StWhl_AudioModeAdvance$ signal and forward it to ExternalInputKeyService.
ExternalInputKeyService shall receive and convert the VHAL signal into key events.
When $SteeringWheelButtonGroups$ is configured as [14_LIN_button_NAFTA] and the user has configured AUX2 for the right middle button in HMI,
The system shall send $SWC_AUX_2$ = [Pressed].</t>
  </si>
  <si>
    <t>Method: Configure $SteeringWheelButtonGroups$ =  [14_LIN_button_NAFTA] button and verify for $SWC_AUX_2$ = [Pressed]</t>
  </si>
  <si>
    <t>CFTS042-4813413</t>
  </si>
  <si>
    <t>NRL-67816</t>
  </si>
  <si>
    <t>SWE1-SWC-026</t>
  </si>
  <si>
    <t>Steering Wheel Audio Preset Advance Button – AUX2 Mapping</t>
  </si>
  <si>
    <t>HW supplier shall notify the AudioPresetAdvance signal via the VHAL interface.
CarPropertyService shall receive the $StWhl_AudioPresetAdvance$ signal and forward it to ExternalInputKeyService.
ExternalInputKeyService shall receive and convert the VHAL signal into key events.
When $SteeringWheelButtonGroups$ is configured as [14_LIN_button_NAFTA] and the user has configured AUX2 for the left middle button in HMI,
The system shall send $SWC_AUX_2$ = [Pressed].</t>
  </si>
  <si>
    <t>CFTS042-4813409</t>
  </si>
  <si>
    <t>NRL-67817</t>
  </si>
  <si>
    <t>SWE1-SWC-027</t>
  </si>
  <si>
    <t>HW supplier shall notify the $StWhl_AudioModeAdvance$ signal via the VHAL interface .
CarPropertyService shall receive the $StWhl_AudioModeAdvance$ signal and forward it to ExternalInputKeyService.
ExternalInputKeyService shall receive and convert the VHAL signal into key events.
When $SteeringWheelButtonGroups$ is configured as [14_LIN_button_EMEA] and the user has configured AUX2 for the right middle button in HMI,
The system shall send $SWC_AUX_2$ = [Pressed].</t>
  </si>
  <si>
    <t>Method: Configure $SteeringWheelButtonGroups$ =[14_LIN_button_EMEA] button and verify for $SWC_AUX_2$ = [Pressed]</t>
  </si>
  <si>
    <t>CFTS042-4813417</t>
  </si>
  <si>
    <t>NRL-67818</t>
  </si>
  <si>
    <t>SWE1-SWC-028</t>
  </si>
  <si>
    <t>Steering Wheel Mute Button (EMEA) – AUX1 Mapping</t>
  </si>
  <si>
    <t>HW supplier shall notify the Mute signal via the VHAL interface.
CarPropertyService shall receive the Mute signal and forward it to ExternalInputKeyService.
ExternalInputKeyService shall receive and convert the VHAL signal into key events.
When $SteeringWheelButtonGroups$ is configured as [14_LIN_button_EMEA] and the user has configured AUX1 for the right middle button in HMI,
The system shall send $SWC_AUX_1$ = [Pressed].</t>
  </si>
  <si>
    <t>Method: Configure $SteeringWheelButtonGroups$ = [14_LIN_button_EMEA] button and verify for $SWC_AUX_1$ = [Pressed]</t>
  </si>
  <si>
    <t>CFTS042-4813420</t>
  </si>
  <si>
    <t>NRL-67819</t>
  </si>
  <si>
    <t>SWE1-SWC-029</t>
  </si>
  <si>
    <t>Steering Wheel Audio Mode Advance Button – AUX1 Mapping</t>
  </si>
  <si>
    <t>HW supplier shall notify the AudioModeAdvance signal via the VHAL interface .
CarPropertyService shall receive the AudioModeAdvance signal and forward it to ExternalInputKeyService.
ExternalInputKeyService shall receive and convert the VHAL signal into key events.
When $SteeringWheelButtonGroups$ is configured as [14_LIN_button_NAFTA] and the user has configured AUX1 for the right middle button in HMI,
The system shall send $SWC_AUX_1$ = [Pressed].</t>
  </si>
  <si>
    <t>Method: Configure $SteeringWheelButtonGroups$ = [14_LIN_button_NAFTA] button and verify for $SWC_AUX_1$ = [Pressed]</t>
  </si>
  <si>
    <t>CFTS042-4813412</t>
  </si>
  <si>
    <t>NRL-67820</t>
  </si>
  <si>
    <t>SWE1-SWC-030</t>
  </si>
  <si>
    <t>Steering Wheel Audio Preset Advance Button – AUX1 Mapping</t>
  </si>
  <si>
    <t>HW supplier shall notify the AudioPresetAdvance signal via the VHAL interface when the steering wheel Audio Preset Advance button is pressed.
CarPropertyService shall receive the AudioPresetAdvance signal and forward it to ExternalInputKeyService.
ExternalInputKeyService shall receive and convert the VHAL signal into key events.
When $SteeringWheelButtonGroups$ is configured as [14_LIN_button_NAFTA] and the user has configured AUX1 for the left middle button in HMI,
The system shall send $SWC_AUX_1$ = [Pressed].</t>
  </si>
  <si>
    <t>CFTS042-4813408</t>
  </si>
  <si>
    <t>NRL-67821</t>
  </si>
  <si>
    <t>SWE1-SWC-031</t>
  </si>
  <si>
    <t>HW supplier shall notify the ModeAdvance signal via the VHAL interface when the steering wheel Mode Advance button is pressed.
CarPropertyService shall receive the ModeAdvance signal and forward it to ExternalInputKeyService.
ExternalInputKeyService shall receive and convert the VHAL signal into key events.
When $SteeringWheelButtonGroups$ is configured as [14_LIN_button_EMEA] and the user has configured AUX1 for the left middle button in HMI,
The system shall send $SWC_AUX_1$ = [Pressed].</t>
  </si>
  <si>
    <t>CFTS042-4813416</t>
  </si>
  <si>
    <t>NRL-67822</t>
  </si>
  <si>
    <t>SWE1-SWC-032</t>
  </si>
  <si>
    <t>Revision Notes</t>
  </si>
  <si>
    <t>Date | Author | Description
2015/10/15 | Don Marchand | CR06049 and CR06050: Initial release of CFTS042 based on SR17 and SR18 release. Existing Steering Wheel Controls requirements in CFTS022 have been moved into this CFTSMV042. Then VF450/465 requirements migrated into this CFTS. - Migrated requirements from PNet and CUSW VFMV450 and from AtlT2 VF465. The "VFMVSourceID" attribute identifies the macrovariant(s) of origin and the source ID(s) from the origin documents. - Copied in PictureNum5 since modified DocGen didn't migrate in the picture! - Re-arranged document sections to accommodate imported contents.  Moved imported Functional Requirements, Diagnostics and Configuration sections from PNet, CUSW and AtlT2 VFs into additional Level 2 sub-sections. If any migrated in Discriminant has a NONE value selected then set System = 'noSys". - Removed AMP from the list of Components - no AMP requirements in this chapter. - Replaced references to 'CTS17 - Audio_Video_Source_Management' with 'CFTS017 Audio Video Source Management', 'CIP CTS_22_Functional_Specification' with 'CFTS022 Functional Specification', 'CTS22_Functional_Specification' with 'CFTS022 Functional Specification', 'CTS24 - Specific_HU_Radio_Functions' with 'CFTS024 Specific HU Radio Functions', 'CTS25 - HU_Player_Functions' with 'CFTS025 Player Functions', 'CTS26_Hands_Free_Phone' with 'CFTS026 Hands Free Phone' and 'CTS28_Voice_Recognition' with 'CFTS028 Voice Recognition'. - Removed references to 'See {VF651-1519} for additional configuration details.'. - Updated Component Type Definition to just include RRM, LTM, ETM, SWS, SCCM, CBC and BCM == 'allCmp' to match what is stated in CFTS042-857. - Transition to new version tracking attributes: RevSR17_Obj, RevSR18_Obj, and Rev_Comment_Obj.  Now depracated: Vers_Obj and Vers_Comment_Obj.
2015/12/11 | Don Marchand | R2 edits for CR06172 and CR06173 - Replace all CAN signal and PROXI parameter references with Logical Identifier (LID) references. Wording changed on some objects to address grammar issues produced by the signal name replacement. Removed references to "signal", "message", "PROXI", etc. from LID references. Remove numeric values and only use matching acronyms for signal values. Update references to sections within this chapter, other CFTS chapters and VFs.
2016/01/26 | Don Marchand | R3 Edits - Keep this 'After migration' CFTSMV in synch with 'After migration' VFMV and copy in Section 2 PUF18 projects for 1A release from 'Before migration' VFMV. For PNet untag VP LEVEL Type = VP1 from CFTS042-1561 = Section "Phone and VR Buttons - BRAND FOCUS STEERING WHEEL". For PNet untag VP LEVEL Type = VP1 from CFTS042-1618 = Section "Answer, Hangup and VR Buttons - CORE STEERING WHEEL". For CUSW untag VP LEVEL TYPE = VP1 from CFTS042-1741 = Section "Answer, Hangup and VR Buttons - CORE STEERING WHEEL".
2016/06/09 | Larry Gaylord | For CR07527 and CR07529: Added requirement scope discriminant
2016/07/08 - 2016/09/14 | Don Marchand | Add SR19 projects and tag FROP for 19 where needed for initial 1A release. Related to 19_DT_RAR_113/127 changed multiple references from CFTS017 to CFTS025 Player Functions.
2016/11/02 - 2016/11/04 | Don Marchand | Initial release for R1 Low quote package. Using a DXL script, the System type definition enumerated values have been updated to change existing 'R1' to 'VP5R120' and add 'R1L' and then if System is already tagged with 'VP2R7' or 'VP2R84' then tag 'R1L'.
2017/07/21 - 2017/08/28 | Don Marchand | Documentation Only: CR11036: Documentation Only - - Based on 'Copy of Peer Review Comment Tracking 170828 CFTS0042 filter.xlsx' comments from Scott Kaplan: In CFTS042-1776 Add in Uconnect Power Mgmt State definitions of SLEEP and STANDBY. CR11036:, CR11085: Documentation Only - - Catchup with post-migration changes made to AtlMi VFMV465 for MP19 in CR08613. See CFTS042-1940 through CFTS042-1945. Project Updates: - On 8/28/2017 create SR20 1A System release project in Section 2.
2017/11/07 - 2018/02/01 | Don Marchand | CR11036:, CR11085: Documentation Only (based on Post Migration Cleanup, RAR and Peer Reviews)- - In Descriptions CFTS042-852/879 update 'VF450' reference to 'CUSW VF450 or AtlMi VF465'. - In CFTS042-1751 to 1754 and 1688 to 1691 remove references to '&lt;nn&gt;MY Uconnect Product Plan_&lt;Month&gt;.pdf' since we don't provide this document and update Market attribute to tag requirements for specific market HUs. - In Sections CFTS042-1704, 1723, 1733, 1737, 1579, 1599, 1610 and 1614 update Market attribute to tag requirements for specific market HUs instead of using allMrkt. - In CFTS042-878 replace VF450-3013 with 'PNet CFTS042-1537 or CUSW CFTS042-1709' since these were migrated from VF450 into this CFTS (Post migration cleanup). - In Section CFTS042-1638 reference StWhl_AudioPresetAdvance and related value acronyms instead of StWhl_AudioModeAdvance for Brand Focus 2 Steering Wheel. - Remove Section CFTS042-1642 since it doesn't apply to the Brand Focus 2 Steering Wheel. - In CFSTS042-1692 change {VF450-4073} and {VF450-4075} to {CFTS042-1580} and {CFTS042-1600} respectively.
2018/01/24 | Don Marchand | Add SR21 projects and tag FROP for 21 where needed for initial 0A release.
2018/02/19 - 2018/04/03   | Don Marchand | - Update objects to tag VehArch with AtlHi to support WL21+/WS21+. Tagging AtlMi or CUSW with AtlM+ (AtlHi) since this CFTS references BCM and LIDs are referencing signals names copied from Atlantis. - Update any Heading or Object text references from 'AtlT2' to 'AtlMi'.  - In CFTS042-867/878 make reference to {CFTS019} more generic. - Update references to CFTS022, CFTS024 and CFTS025. - Remove Section CFTS042-1804 since it discusses SWS Stuck Button behavior and SWS behavior will remain within VF465. - In CFTS042-857 add Note regarding TLM acronym. - Create unique requirements (ex. CFTS042-2027 and Section CFTS042-2028) matching the Unique Core Steering Wheel first used on WL21 where the Phone Answer and the VR Steering Wheel functionality is combined into the same button (Command_07Sts) while there is also a separate Phone Hangup Button (Command_08Sts). Currently there is no name/acronym defined by the STW Component Release team to reference this unique Steering Wheel and so there is no unique PROXI parameter (yet). - Add section CFTS042-2037 to describe HU behavior named 'Audio Controls on the IPC' when the Unique Core Steering Wheel EVIC Left, Right and Center buttons are pressed. See VF155, CFTS024 and '2021 WL - 10 inch EVIC - HMI 1A Final (3.12.2018).pdf'. - Tag MVA_CoAuthorApproval attribute with Global. - For section 2 SR21 Projects CoAuthorApproval attribute tag Global, untag NAFTA and synthesize CFTSs for SR21 1A.
2018/04/19 - 2018/08/27 | Don Marchand, Wilson Salomao | CR12066: - Updated references from 'AtlM+' to 'AtlHi'. - In CFTS042-860 add RRM. - In CFTS042-603 change reference from 'HU Automatic Functions' to 'Steering Wheel Controls'. - In CFTS042-855/856 remove 'Sys' suffix on System attribute value references and update System list. - In CFTS042-1939 clarify to indicate On-Board/Embedded VR is not supported on R1L, but Off-Board VR is supported. - In CFTS042-1746/1747/1623/1624 added R1L tag due to RAR_LTM-R1L_SR21_1A. - Create CFTS042-2059/2060/2061 by copying the CAN versus Internal Signal Table from AtlMi VF465 into CFTS042 and allocate to AtlLo (since the AtlLo VF465 does not have the table). Remove AtlLo tag from CFTS042-1767 since these are equivalent to the new objects CFTS042-2059/2060/2061. - In section CFTS042-1755 'Functional Requirements - AtlLo, AtlMi and AtlHi', added AtlLo by DXL script and tag for AtlHi since VFMV465_V1_R1 for Atlantis High has removed the equivalent section and indicates to see CFTS042. - Added new section CFTS042-2062 with objects CFTS042-2063 to CFTS042-2071 to discuss Internal signal to CAN Signal mapping using Logical Identifiers. - Add new section CFTS026-2072 for AtlLo and AtlMi, R1L requirements. - Syntheszie for SR21 2A.
2018/08/28 - 2018/??/?? | TBD | TBD  ??? Will we add VP5R120 to those requirements that have VP4R84???? - The Brand Focus 2 steering wheel is unique to Maserati vehicles and the Maserati vehicles started using the VP3??? and VP484 Classic radios in 2017 and beyond. So remove any System tags for VP3 Classic, Refresh and R1 radios in all requirements in Sections CFTS042-1626 and CFTS042-1673 and any other Brand Focus 2 requirements; CFTS043-1687 and ????.
2018/11/02 | Sravani Bandapalli | CR12442: AtlMi is now paired with R1 radio for MP21 MCA based on bulletin 302575-02 -Tagged AtlMi for CFTS042-852/877/878 -CFTS042-2154/2159: Added new section for AtlMi to 'add R1 to MP'
2019/05/29 | Sravani Bandapalli | CR13843: Added new section CFTS042-2201 as part of Maserati migration from VF's to CFTS
2019/09/06 | Gabriela Anelvoi | CR14293 for SR22:  - Added R1L tags in the sections CFTS043-2037 e CFTS043-2028 to meet Bulletin 302435. - Added R1L and AtlMi in the description CFTS043-2027 to meet Bulletin 302435.
2019/09/25 | Gabriela Anelvoi | CR14410 for SR21: - Added R1L tags in the sections CFTS043-2037 e CFTS043-2028 to meet Bulletin 302435. - Added R1L and AtlMi in the description CFTS043-2027 to meet Bulletin 302435. - Added requirements CFTS042-2243/2241/2240 and the description CFTS042-2244 to describe VR for LATAM markets; - Removed LATAM tag from the description CFTS042-2127.
2019/09/26 | Gabriela Anelvoi | CR14411 for SR22: - Added requirements CFTS042-2243/2241/2240 and the description CFTS042-2244 to describe VR for LATAM markets; - Removed LATAM tag from the description CFTS042-2127.
2019/12/12 | Sravani Bandapalli | CR14670 for SR22: - Added the object CFTS042-2267; - Added R1M tags in the section CFTS042-2073;
2022/06/23 | Arthur Johannes | CR21166: - Added Tag for R1L to support DHCC- MY23 per SRXX-14268
2022/07/25 | Arthur Johannes | CR21337 / CR21338 : SR23 / SR24 - update Table for Brand Focus SWC type, adding Phone and Pickup&amp;Voice Buttons per SRXX-14280 R&amp;R (SRXX-14483).
For Preset Down function, the HU shall move to the previous sequential preset from the current preset.</t>
  </si>
  <si>
    <t>CFTS042-4812906, 4813395</t>
  </si>
  <si>
    <t>NRL-67823</t>
  </si>
  <si>
    <t>SWE1-SWC-033</t>
  </si>
  <si>
    <t>Mute Function – Audio Source Control</t>
  </si>
  <si>
    <t>For Mute function, the HU shall mute audio source for the currently selected Entertainment Audio/Video source being used by the Cabin Output Channel.</t>
  </si>
  <si>
    <t>CFTS042-4813394</t>
  </si>
  <si>
    <t>NRL-67834</t>
  </si>
  <si>
    <t xml:space="preserve">SWE1-SWC-044   </t>
  </si>
  <si>
    <t xml:space="preserve">Audio Controls on IPC </t>
  </si>
  <si>
    <t>The HW shall support the Audio Controls on the IPC feature when the PROXI parameter Audio Steering Wheel Controls on the IPC = [Enabled].
After enabled the HW shall allow interaction of audio control functions via the IPC based on steering wheel inputs.
The HW supplier shall ensure that the feature behavior and interaction comply with the defined IPC and HMI specifications.</t>
  </si>
  <si>
    <t>Method: Configure                     parameter $Audio Steering Wheel Controls on the IPC$ = [Enabled], then verify 'Audio Controls on the IPC' feature</t>
  </si>
  <si>
    <t>CFTS042-4812996</t>
  </si>
  <si>
    <t>NRL-67835</t>
  </si>
  <si>
    <t xml:space="preserve">SWE1-SWC-045        </t>
  </si>
  <si>
    <t>Steering Wheel Audio Input  State</t>
  </si>
  <si>
    <t>HW supplier shall notify the steering wheel control signals via the VHAL interface.
CarPropertyService shall receive the steering wheel control signals ($Command_11$, $Command_13$, $Command_15$) and forward them to ExternalInputKeyService.
ExternalInputKeyService shall receive and convert the received signals into key events.
The HU shall monitor $Cluster_In_Audio_Md$ and $AudioMenuPopup$ status.
When $Cluster_In_Audio_Md$ = [Not Active] or $AudioMenuPopup$ = [Active],
The system shall ignore the key events corresponding to $Command_11$, $Command_13$, and $Command_15$.
The system shall not execute any function mapped to these steering wheel inputs based on conditions.</t>
  </si>
  <si>
    <t>Method: Configure              wheel signal values received in $Command_11$, $Command_13$ and $Command_15$ when  HU receives $Cluster_In_Audio_Md$ = [Not Active] or $AudioMenuPopup$ = [Active]</t>
  </si>
  <si>
    <t>CFTS042-4812998</t>
  </si>
  <si>
    <t>NRL-67836</t>
  </si>
  <si>
    <t xml:space="preserve">SWE1-SWC-046     </t>
  </si>
  <si>
    <t>HW supplier shall notify the steering wheel control signals via the VHAL interface.
CarPropertyService shall receive the steering wheel control signals ($Command_11$, $Command_13$, $Command_15$) and forward them to ExternalInputKeyService.
ExternalInputKeyService shall receive and convert the received signals into key events.
The HU shall monitor $Cluster_In_Audio_Md$ and $AudioMenuPopup$ status.
When $Cluster_In_Audio_Md$ = [Active] and $AudioMenuPopup$ = [Not_Active],
The service shall determine the corresponding action for $Command_11$, $Command_13$, and $Command_15$ based on the configured button functionality.
The service shall execute the function as defined in “10 inch EVIC - HMI”, section Menu Structure - Audio Menu - Left/Right/OK Button Functions.</t>
  </si>
  <si>
    <t>Method: Configure                   HU responds when receiving $Command_11$ = [pressed] or $Command_13$ = [pressed] or $Command_15$ = [pressed] based on the corresponding button functionality, when HU receives $Cluster_In_Audio_Md$ = [Active] and $AudioMenuPopup$ = [Not_Active]</t>
  </si>
  <si>
    <t>CFTS042-4812999</t>
  </si>
  <si>
    <t>NRL-67841</t>
  </si>
  <si>
    <t xml:space="preserve">SWE1-SWC-051       </t>
  </si>
  <si>
    <t>Steering Wheel control Volume Up Function on SNA</t>
  </si>
  <si>
    <t>HW supplier shall notify the $StWhl_VolumeUp$ signal via the VHAL interface.
CarPropertyService shall receive the $StWhl_VolumeUp$ signal and forward it to ExternalInputKeyService.
ExternalInputKeyService shall receive and convert the received signal into key events.
When the HU initiates the volume up function based on $StWhl_VolumeUp$ = [Pressed], the system shall continuously monitor the signal status.
If $StWhl_VolumeUp$ = [SNA] is received during the volume up operation,
The system shall immediately stop the volume up function.</t>
  </si>
  <si>
    <t>Method: Configure   $StWhl_VolumeUp$ = [SNA], then check for stopping the volume up function.</t>
  </si>
  <si>
    <t>CFTS042-4812975</t>
  </si>
  <si>
    <t>NRL-67842</t>
  </si>
  <si>
    <t xml:space="preserve">SWE1-SWC-052               </t>
  </si>
  <si>
    <t>Steering Wheel Volume Up Button[Not_Pressed]</t>
  </si>
  <si>
    <t>HW supplier shall notify the $StWhl_VolumeUp$ signal via the VHAL interface.
CarPropertyService shall receive the $StWhl_VolumeUp$ signal and forward it to ExternalInputKeyService.
ExternalInputKeyService shall receive and convert the received signal into key events.
When the HU initiates the volume up function based on $StWhl_VolumeUp$ = [Pressed], the system shall continuously monitor the signal status.
If $StWhl_VolumeUp$ = [Not_Pressed] is received during the volume up operation,
The system shall stop the volume up function.</t>
  </si>
  <si>
    <t>Method: Configure   $StWhl_VolumeUp$ = [Not_Pressed] , then check for stopping the volume up function.</t>
  </si>
  <si>
    <t>CFTS042-4812973</t>
  </si>
  <si>
    <t>NRL-67843</t>
  </si>
  <si>
    <t>SWE1-SWC-053</t>
  </si>
  <si>
    <t>Method: Configure   $StWhl_VolumeDown$ = [Pressed], then check for the volume down operation.</t>
  </si>
  <si>
    <t>CFTS042-4812974</t>
  </si>
  <si>
    <t>NRL-67844</t>
  </si>
  <si>
    <t xml:space="preserve">SWE1-SWC-054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</si>
  <si>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[14_LIN_button_NAFTA], the system shall map the received key event to the Volume Up function configured for the right top button in HMI.
When $StWhl_VolumeUp$ = [Pressed] is received, the HU shall increment the volume by one step and, after 500 msec, continue incrementing the volume at a rate of one step every 200 msec until $StWhl_VolumeUp$ &lt;&gt; [Pressed] is received or the maximum volume level has been reached.</t>
  </si>
  <si>
    <t>Method: Configure   $StWhl_VolumeUp$ = [Pressed] and check for incrementing the volume by one step and then after 500 msec shall increment the volume at a rate of one step every 200 msec until $StWhl_VolumeUp$ &lt;&gt; [Pressed] is received or the maximum volume level has been reached</t>
  </si>
  <si>
    <t>CFTS042-4812972</t>
  </si>
  <si>
    <t>NRL-67845</t>
  </si>
  <si>
    <t>SWE1-SWC-055</t>
  </si>
  <si>
    <t>Steering Wheel Volume Up Button</t>
  </si>
  <si>
    <t>HW supplier shall notify the $StWhl_VolumeUp$ signal via the VHAL interface when the steering wheel Volume Up button status changes.
CarPropertyService shall receive the $StWhl_VolumeUp$ signal and forward it to ExternalInputKeyService.
ExternalInputKeyService shall receive and convert the received VHAL signal into key events.
When $StWhl_VolumeUp$ = [Not Pressed] or $StWhl_VolumeUp$ = [SNA] is received, the HU shall not initiate any volume up behavior change.</t>
  </si>
  <si>
    <t>Method: Configure   $StWhl_VolumeUp$ = [Not_Pressed] or $StWhl_VolumeUp$ = [SNA] and verify HU for not initiating any volume up behavior change.</t>
  </si>
  <si>
    <t>CFTS042-4812971</t>
  </si>
  <si>
    <t>NRL-67847</t>
  </si>
  <si>
    <t xml:space="preserve">SWE1-SWC-057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</si>
  <si>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[14_LIN_button_NAFTA], the system shall map the received key event to the Volume Up function configured for the right top button in HMI.                                                                                                                                                                                        The service shall execute the user-configured function corresponding to the right top steering wheel button.</t>
  </si>
  <si>
    <t>Method: Configure   $StWhl_VolumeUp$ = [Pressed] and verify HU for performing volume up function.</t>
  </si>
  <si>
    <t>CFTS042-4812984</t>
  </si>
  <si>
    <t>NRL-67848</t>
  </si>
  <si>
    <t xml:space="preserve">SWE1-SWC-058    </t>
  </si>
  <si>
    <t>Steering Wheel control Volume Down Function on SNA</t>
  </si>
  <si>
    <t>HW supplier shall notify the VolumeDown signal via the VHAL interface.
CarPropertyService shall receive the VolumeDown signal and forward it to ExternalInputKeyService.
ExternalInputKeyService shall receive and convert the received signal into key events.
When the HU initiates the volume down function based on $StWhl_VolumeDown$ = [Pressed], the system shall continuously monitor the signal status.
If $StWhl_VolumeDown$ = [SNA] is received during the volume down operation,
The system shall immediately stop the volume down function.</t>
  </si>
  <si>
    <t>Method: Configure   $StWhl_VolumeDown$ = [SNA] and verify HU for stopping volume down function.</t>
  </si>
  <si>
    <t>CFTS042-4812985</t>
  </si>
  <si>
    <t>NRL-67849</t>
  </si>
  <si>
    <t xml:space="preserve">SWE1-SWC-059     </t>
  </si>
  <si>
    <t xml:space="preserve"> Steering Wheel Volume Down Button  [Not_Pressed]</t>
  </si>
  <si>
    <t>HW supplier shall notify the $StWhl_VolumeDown$ signal via the VHAL interface.
CarPropertyService shall receive the $StWhl_VolumeDown$ signal and forward it to ExternalInputKeyService.
ExternalInputKeyService shall receive and convert the received signal into key events.
When the HU initiates the volume down function based on $StWhl_VolumeDown$ = [Pressed], the system shall continuously monitor the signal status.
If $StWhl_VolumeDown$ = [Not_Pressed] is received during the volume down operation,
The system shall stop the volume down function.</t>
  </si>
  <si>
    <t>Method: Configure   $StWhl_VolumeDown$ = [Not_Pressed] and verify HU for stopping volume down function.</t>
  </si>
  <si>
    <t>CFTS042-4812983</t>
  </si>
  <si>
    <t>NRL-67850</t>
  </si>
  <si>
    <t xml:space="preserve">SWE1-SWC-060      </t>
  </si>
  <si>
    <t>Steering Wheel Volume Down Button[Pressed]</t>
  </si>
  <si>
    <t>HW supplier shall notify the VolumeDown signal via the VHAL interface.
CarPropertyService shall receive the VolumeDown signal and forward it to ExternalInputKeyService.
ExternalInputKeyService shall receive and convert the received signal into key events.
When $StWhl_VolumeDown$ = [Pressed] is received, the HU shall decrement the volume by one step.
The system shall wait for 500 msec after the initial decrement.
After 500 msec, the HU shall continue decrementing the volume at a rate of one step every 200 msec.
The continuous decrement shall continue until:
VolumeDown= [Pressed], or the minimum volume level is reached.</t>
  </si>
  <si>
    <t>Method: Configure   $StWhl_VolumeDown$ = [Pressed] and verify HU for volume down function  by one step and then after 500 msec shall decrement the volume at a rate of one step every 200 msec</t>
  </si>
  <si>
    <t>CFTS042-4812982</t>
  </si>
  <si>
    <t>NRL-67851</t>
  </si>
  <si>
    <t>SWE1-SWC-061</t>
  </si>
  <si>
    <t>Steering Wheel Volume Down Button  [Not_Pressed]</t>
  </si>
  <si>
    <t>HW supplier shall notify the $StWhl_VolumeDown$ signal via the VHAL interface when the steering wheel Volume Down button status changes.
CarPropertyService shall receive the $StWhl_VolumeDown$ signal and forward it to ExternalInputKeyService.
ExternalInputKeyService shall receive and convert the received VHAL signal into key events.
When $StWhl_VolumeDown$ = [Not_Pressed] or $StWhl_VolumeDown$ = [SNA] is received, the HU shall not initiate any volume down behavior change.</t>
  </si>
  <si>
    <t>Method: Configure   $StWhl_VolumeDown$ = [Not_Pressed] or $StWhl_VolumeDown$ = [SNA] and verify HU shall not initiate any volume down behavior change</t>
  </si>
  <si>
    <t>CFTS042-4812981</t>
  </si>
  <si>
    <t>NRL-67853</t>
  </si>
  <si>
    <t xml:space="preserve">SWE1-SWC-063         </t>
  </si>
  <si>
    <t>Steering Wheel control SEEK UP Function on SNA</t>
  </si>
  <si>
    <t>HW supplier shall notify the SeekUp signal via the VHAL interface.
CarPropertyService shall receive the SeekUp signal and forward it to ExternalInputKeyService.
ExternalInputKeyService shall receive and convert the received signal into a key event.
When the HU has initiated a seek up function and $StWhl_SeekUp$ = [SNA] is received, the HU shall stop the seek up function.
The stop behavior shall be equivalent to a haptic button release event.</t>
  </si>
  <si>
    <t>Method: Configure $StWhl_SeekUp$ = [SNA] verify for stopping the seek up function</t>
  </si>
  <si>
    <t>CFTS042-4812956</t>
  </si>
  <si>
    <t>NRL-67854</t>
  </si>
  <si>
    <t xml:space="preserve">SWE1-SWC-064    </t>
  </si>
  <si>
    <t>Steering Wheel control SEEK UP [Not_Pressed]</t>
  </si>
  <si>
    <t>HW supplier shall notify the SeekUp signal via the VHAL interface.
CarPropertyService shall receive the SeekUp signal and forward it to ExternalInputKeyService.
ExternalInputKeyService shall receive and convert the received signal into a key event.
When the HU has initiated a seek up function and $StWhl_SeekUp$ = [Not_Pressed] is received, the HU shall stop the seek up function.
The stop behavior shall be equivalent to a haptic button release event.</t>
  </si>
  <si>
    <t xml:space="preserve"> Method: Configure  $StWhl_SeekUp$ = [Not_Pressed] and verify for stopping the seek up function</t>
  </si>
  <si>
    <t>CFTS042-4812954</t>
  </si>
  <si>
    <t>NRL-67855</t>
  </si>
  <si>
    <t xml:space="preserve">SWE1-SWC-065      </t>
  </si>
  <si>
    <t>Steering Wheel control SEEK Down [Pressed]</t>
  </si>
  <si>
    <t xml:space="preserve">HW supplier shall notify the SeekDown signals via the VHAL interface.
CarPropertyService shall receive the steering wheel signals and forward them to ExternalInputKeyService.
ExternalInputKeyService shall receive and convert the received signals into key events.
When the HU has initiated a seek up function and $StWhl_SeekDown$ = [Pressed] is received,
The HU shall stop the seek up function.
</t>
  </si>
  <si>
    <t xml:space="preserve"> Method: Configure $StWhl_SeekDown$ = [Pressed] and verify for stopping the seek up function</t>
  </si>
  <si>
    <t>CFTS042-4812955</t>
  </si>
  <si>
    <t>NRL-67856</t>
  </si>
  <si>
    <t xml:space="preserve">SWE1-SWC-066       </t>
  </si>
  <si>
    <t>Steering Wheel control SEEK UP [Pressed]</t>
  </si>
  <si>
    <t>HW supplier shall notify the $StWhl_SeekUp$ signal via the VHAL interface.
CarPropertyService shall receive the $StWhl_SeekUp$ signal and forward it to ExternalInputKeyService.
ExternalInputKeyService shall reveice and convert the received signal into a key event.
When $StWhl_SeekUp$ = [Pressed] is received, the HU shall initiate a seek up behavior change.
The behavior shall be determined based on the current  mode.
The detailed behavior shall comply with:
Chapter CFTS024 – Specific HU Radio Functions
Chapter CFTS025 – Player Functions</t>
  </si>
  <si>
    <t xml:space="preserve"> Method: Configure  $StWhl_SeekUp$ = [Pressed] and verify for initiating a seek up behavior change</t>
  </si>
  <si>
    <t>CFTS042-4812952</t>
  </si>
  <si>
    <t>NRL-67857</t>
  </si>
  <si>
    <t xml:space="preserve">SWE1-SWC-067  </t>
  </si>
  <si>
    <t>HW supplier shall notify the $StWhl_SeekUp$ signal via the VHAL interface.
CarPropertyService shall receive the $StWhl_SeekUp$ signal and forward it to ExternalInputKeyService.
ExternalInputKeyService shall receive and convert the received VHAL signal into key events.
When $StWhl_SeekUp$ = [Not_Pressed] or $StWhl_SeekUp$ = [SNA] is received, the HU shall not initiate any seek up behavior change.</t>
  </si>
  <si>
    <t>Method: Configure   $StWhl_SeekUp$ = [Not_Pressed] or $StWhl_SeekUp$ = [SNA] and verify for not initiating any seek up behavior change</t>
  </si>
  <si>
    <t>CFTS042-4812951</t>
  </si>
  <si>
    <t>NRL-67858</t>
  </si>
  <si>
    <t xml:space="preserve">SWE1-SWC-068   </t>
  </si>
  <si>
    <t>HW supplier shall notify the $StWhl_SeekUp$ signal via the VHAL interface.
CarPropertyService shall receive the $StWhl_SeekUp$ signal and forward it to ExternalInputKeyService.
ExternalInputKeyService shallreceive and convert the received VHAL signal into key events.
If $StWhl_SeekUp$ = [Pressed] is received and is not followed by $StWhl_SeekUp$ &lt;&gt; [Pressed], the HU shall initiate a continuous seek up function.</t>
  </si>
  <si>
    <t>Method: Configure   $StWhl_SeekUp$ = [Pressed] and verify for initiating a continuous seek up function</t>
  </si>
  <si>
    <t>CFTS042-4812953</t>
  </si>
  <si>
    <t>NRL-67860</t>
  </si>
  <si>
    <t xml:space="preserve">SWE1-SWC-070     </t>
  </si>
  <si>
    <t>HW supplier shall notify the $StWhl_SeekUp$ signal via the VHAL interface.
CarPropertyService shall receive the $StWhl_SeekUp$ signal and forward it to ExternalInputKeyService.
ExternalInputKeyService shall receive and convert the received VHAL signal into key events.
When the HU has initiated a seek down function and $StWhl_SeekUp$ = [Pressed] is received, the HU shall stop the seek down function in a similar manner as a haptic button release.</t>
  </si>
  <si>
    <t>Method: Configure $StWhl_SeekUp$ = [Pressed] while a seek down function is going on and verify HU for stopping the seek down function</t>
  </si>
  <si>
    <t>CFTS042-4812968</t>
  </si>
  <si>
    <t>NRL-67861</t>
  </si>
  <si>
    <t xml:space="preserve">SWE1-SWC-071    </t>
  </si>
  <si>
    <t>HW supplier shall notify the SeekDown signals via the VHAL interface.
CarPropertyService shall receive the steering wheel signals and forward them to ExternalInputKeyService.
ExternalInputKeyService shall receive and convert the received signals into key events.
When the HU has initiated a seek up function and $StWhl_SeekDown$ = [Pressed] is received,
The HU shall stop the seek up function.</t>
  </si>
  <si>
    <t>Method: Configure  $StWhl_SeekDown$ = [SNA] while a seek down function is going on and verify HU for stopping the seek down function</t>
  </si>
  <si>
    <t>CFTS042-4812969</t>
  </si>
  <si>
    <t>NRL-67862</t>
  </si>
  <si>
    <t>SWE1-SWC-072</t>
  </si>
  <si>
    <t xml:space="preserve"> Method: Configure$StWhl_SeekDown$ = [Not_Pressed] while a seek down function is going on and verify HU for stopping the seek down function</t>
  </si>
  <si>
    <t>CFTS042-4812967</t>
  </si>
  <si>
    <t>NRL-67863</t>
  </si>
  <si>
    <t>SWE1-SWC-073</t>
  </si>
  <si>
    <t>HW supplier shall notify the $StWhl_SeekDown$ signal via the VHAL interface.
CarPropertyService shall receive the $StWhl_SeekDown$ signal and forward it to ExternalInputKeyService.
ExternalInputKeyService shall receive and convert the received VHAL signal into key events.
When $StWhl_SeekDown$ = [Pressed] is received, the HU shall initiate a seek down behavior change, based on the cabin mode, in a similar manner to the haptic SEEK DOWN button press event.
The HU shall execute the radio and player behavior requirements as defined in Chapter {CFTS024 Specific HU Radio Functions} and Chapter {CFTS025 Player Functions}.</t>
  </si>
  <si>
    <t>Method: Configure $StWhl_SeekDown$ = [Pressed] and verify HU for initiating a seek down behavior change.</t>
  </si>
  <si>
    <t>CFTS042-4812965</t>
  </si>
  <si>
    <t>NRL-67864</t>
  </si>
  <si>
    <t>SWE1-SWC-074</t>
  </si>
  <si>
    <t>Method: Configure $StWhl_SeekDown$ = [Not_Pressed] or $StWhl_SeekDown$ = [SNA] and verify HU for not initiating a seek down behavior change.</t>
  </si>
  <si>
    <t>CFTS042-4812964</t>
  </si>
  <si>
    <t>NRL-67865</t>
  </si>
  <si>
    <t>SWE1-SWC-075</t>
  </si>
  <si>
    <t>HW supplier shall notify the $StWhl_SeekDown$ signal via the VHAL interface.
CarPropertyService shall receive the $StWhl_SeekDown$ signal and forward it to ExternalInputKeyService.
ExternalInputKeyService shall receive and convert the received VHAL signal into key events.
If $StWhl_SeekDown$ = [Pressed] is received and is not followed by $StWhl_SeekDown$ &lt;&gt; [Pressed], the HU shall initiate a continuous seek down function.</t>
  </si>
  <si>
    <t>Method: Configure $StWhl_SeekDown$ = [Pressed] and verify HU for initiating a continuous seek down function.</t>
  </si>
  <si>
    <t>CFTS042-4812966</t>
  </si>
  <si>
    <t>NRL-67867</t>
  </si>
  <si>
    <t xml:space="preserve">SWE1-SWC-077                  </t>
  </si>
  <si>
    <t>Steering Wheel Audio Preset Advance Button [Pressed]</t>
  </si>
  <si>
    <t>HW supplier shall notify the $StWhl_AudioPresetAdvance$ signal via the VHAL interface.
CarPropertyService shall receive the $StWhl_AudioPresetAdvance$ signal and forward it to ExternalInputKeyService.
ExternalInputKeyService shall receive and  convert the received signal into a key event.
When $StWhl_AudioPresetAdvance$ = [Pressed] is received the HU modes ,
The HU shall advance to the next sequential preset from the current preset.</t>
  </si>
  <si>
    <t>Expected Result:                             When  $StWhl_AudioPresetAdvance$ = [Pressed] is applied, the HU shall advance to the next sequential preset from the current preset.</t>
  </si>
  <si>
    <t>CFTS042-4812959</t>
  </si>
  <si>
    <t>NRL-67868</t>
  </si>
  <si>
    <t xml:space="preserve">SWE1-SWC-078 </t>
  </si>
  <si>
    <t>HW supplier shall notify the $StWhl_AudioPresetAdvance$ signal via the VHAL interface.
CarPropertyService shall receive the $StWhl_AudioPresetAdvance$ signal and forward it to ExternalInputKeyService.
ExternalInputKeyService shall receive and convert the received VHAL signal into key events.
When the HU receives $StWhl_AudioPresetAdvance$ = [Pressed] and the HU is not tuned to a preset, the HU shall tune to the first programmed preset for that mode.</t>
  </si>
  <si>
    <t>Method: Configure $StWhl_AudioPresetAdvance$ = [Pressed], and verify HU tune to the first programmed preset for that mode if HU is not tuned to a preset.</t>
  </si>
  <si>
    <t>CFTS042-4812960</t>
  </si>
  <si>
    <t>NRL-67869</t>
  </si>
  <si>
    <t>SWE1-SWC-079</t>
  </si>
  <si>
    <t>HW supplier shall notify the $StWhl_AudioPresetAdvance$ signal via the VHAL interface.
CarPropertyService shall receive the $StWhl_AudioPresetAdvance$ signal and forward it to ExternalInputKeyService.
ExternalInputKeyService shall receive and convert the received signal into a key event.
When $StWhl_AudioPresetAdvance$ = [Pressed] is received the HU modes ,
The HU shall advance to the next sequential preset from the current preset.</t>
  </si>
  <si>
    <t>Method: Configure $StWhl_AudioPresetAdvance$ = [Pressed] and verify the button press shall be ignored if no presets are programmed for that mode.</t>
  </si>
  <si>
    <t>CFTS042-4812962</t>
  </si>
  <si>
    <t>NRL-67870</t>
  </si>
  <si>
    <t xml:space="preserve">SWE1-SWC-080    </t>
  </si>
  <si>
    <t xml:space="preserve">Steering Wheel Audio Preset Advance Button </t>
  </si>
  <si>
    <t>HW supplier shall notify the $StWhl_AudioPresetAdvance$ signal via the VHAL interface.
CarPropertyService shall receive the $StWhl_AudioPresetAdvance$ signal and forward it to ExternalInputKeyService.
ExternalInputKeyService shall receive and convert the received signal into a key event.
When $StWhl_AudioPresetAdvance$ = [Pressed] is received, the HU shall advance to the next preset (as applicable).
After advancing the preset, the HU shall not advance to another preset while $StWhl_AudioPresetAdvance$ = [Pressed] is maintained.
The HU shall wait until $StWhl_AudioPresetAdvance$ = [Not_Pressed] or $StWhl_AudioPresetAdvance$ = [SNA] is received to reset the button state.
The HU shall only advance to the next preset upon receiving a new $StWhl_AudioPresetAdvance$ = [Pressed] event after the reset.</t>
  </si>
  <si>
    <t>Method: Configure $StWhl_AudioPresetAdvance$ = [Not_Pressed] or $StWhl_AudioPresetAdvance$ = [SNA] and verify the HU not initiating a preset advance.</t>
  </si>
  <si>
    <t>CFTS042-4812958</t>
  </si>
  <si>
    <t>NRL-67871</t>
  </si>
  <si>
    <t xml:space="preserve">SWE1-SWC-081    </t>
  </si>
  <si>
    <t>HW supplier shall notify the $StWhl_AudioPresetAdvance$ signal via the VHAL interface.
CarPropertyService shall receive the $StWhl_AudioPresetAdvance$ signal and forward it to ExternalInputKeyService.
ExternalInputKeyService shall receive and convert the received VHAL signal into key events.
After receiving $StWhl_AudioPresetAdvance$ = [Pressed] and the preset is advanced, the HU shall not advance to another preset until $StWhl_AudioPresetAdvance$ = [Not_Pressed] or $StWhl_AudioPresetAdvance$ = [SNA] is received to reset the button and another $StWhl_AudioPresetAdvance$ = [Pressed] is received.
The PRESET button shall not support continuous button press behavior. The button must be released and pressed again to advance to the next preset.</t>
  </si>
  <si>
    <t>Method: Configure $StWhl_AudioPresetAdvance$ = [Pressed] and verify the preset is advanced. Apply $StWhl_AudioPresetAdvance$ = [Not_Pressed] or $StWhl_AudioPresetAdvance$ = [SNA], and verify preset is not advanced.</t>
  </si>
  <si>
    <t>CFTS042-4812961</t>
  </si>
  <si>
    <t>NRL-67873</t>
  </si>
  <si>
    <t xml:space="preserve">SWE1-SWC-083     </t>
  </si>
  <si>
    <t>HW supplier shall notify the $StWhl_AudioModeAdvance$ signal via the VHAL interface.
CarPropertyService shall receive the $StWhl_AudioModeAdvance$ signal and forward it to ExternalInputKeyService.
ExternalInputKeyService shall receive and convert the received VHAL signal into key events.
When the HU receives $StWhl_AudioModeAdvance$ = [Pressed], the HU shall advance to the next sequential mode from the current mode.
The HU shall execute the mode transition behavior requirements as defined in Chapter {CFTS025 Player Functions}.</t>
  </si>
  <si>
    <t>Method: Configure $StWhl_AudioModeAdvance$ = [Pressed] and verify HU shall advance to the next sequential mode from the current mode</t>
  </si>
  <si>
    <t>CFTS042-4812977</t>
  </si>
  <si>
    <t>NRL-67874</t>
  </si>
  <si>
    <t xml:space="preserve">SWE1-SWC-084             </t>
  </si>
  <si>
    <t>Steering Wheel Audio Preset Advance Button [Not_Pressed]</t>
  </si>
  <si>
    <t>HW supplier shall notify the $StWhl_AudioModeAdvance$ signal via the VHAL interface.
CarPropertyService shall receive the $StWhl_AudioModeAdvance$ signal and forward it to ExternalInputKeyService.
ExternalInputKeyService shall receive and convert the received signal into a key event.
When $StWhl_AudioModeAdvance$ = [Not_Pressed] is received,
The HU shall not initiate any mode advance function.</t>
  </si>
  <si>
    <t>Expected Result:                             HU shall not initiate a mode advance, when $StWhl_AudioModeAdvance$ = [Not_Pressed] is applied</t>
  </si>
  <si>
    <t>CFTS042-4812978</t>
  </si>
  <si>
    <t>NRL-67875</t>
  </si>
  <si>
    <t xml:space="preserve">SWE1-SWC-085  </t>
  </si>
  <si>
    <t>Method: Configure $StWhl_AudioModeAdvance$ = [Pressed] and verify the mode is advanced, verify HU shall not advance to another mode until $StWhl_AudioModeAdvance$ = [Not_Pressed] or $StWhl_AudioModeAdvance$ = [Pressed] is received</t>
  </si>
  <si>
    <t>CFTS042-4812979</t>
  </si>
  <si>
    <t>NRL-67878</t>
  </si>
  <si>
    <t xml:space="preserve">SWE1-SWC-088      </t>
  </si>
  <si>
    <t>NRL-67879</t>
  </si>
  <si>
    <t xml:space="preserve">SWE1-SWC-089          </t>
  </si>
  <si>
    <t>NRL-67880</t>
  </si>
  <si>
    <t>SWE1-SWC-090</t>
  </si>
  <si>
    <t>Phone Answer and Hangup Buttons[HFP is in progress]</t>
  </si>
  <si>
    <t>HW supplier shall send Phone Answer or Hangup Pressed command via VHAL interface.                                                                                                                                                                                                                                                                                                                                                                                                                                                   CarPropertyService shall receive the event and forward it to ExternalInputKeyService.                                                                                                                                                                                                                                                                                                                                                                            This service shall receive and convert it into an input event and route it to Bluetooth HFP to answer or terminate the ongoing call.</t>
  </si>
  <si>
    <t xml:space="preserve">Method: Configure $StWhl_PhoneAnswer$ = [Pressed] or $StWhl_PhoneHangup$ = [Pressed] while HFP is in progress </t>
  </si>
  <si>
    <t>CFTS042-4813006</t>
  </si>
  <si>
    <t>NRL-67881</t>
  </si>
  <si>
    <t>SWE1-SWC-091</t>
  </si>
  <si>
    <t>Phone Answer [HFP not in progress]</t>
  </si>
  <si>
    <t>HW supplier shall send Phone Answer pressed via VHAL interface.                                                                                                                                                                                                                                                                                                                                                                                                                                                                                         CarPropertyService shall forward the event to ExternalInputKeyService.                                                                                                                                                                                                                                                                                                                                                                                          The service shall process the event and no call is triggered as Bluetooth HFP is not in progress.</t>
  </si>
  <si>
    <t>Method: Configure $StWhl_PhoneAnswer$ = [Pressed] and verify HU for HFP task activation</t>
  </si>
  <si>
    <t>CFTS042-4813005</t>
  </si>
  <si>
    <t>NRL-67882</t>
  </si>
  <si>
    <t xml:space="preserve">SWE1-SWC-092            </t>
  </si>
  <si>
    <t>Voice Recognition Buttons – Not Pressed State Handling</t>
  </si>
  <si>
    <t>HW supplier shall notify Not_Pressed state for Voice Recognition / Phone Answer / Hangup via VHAL.                                                                                                                                                                                                                                                                                                                                  CarPropertyService forwards to ExternalInputKeyService, which maintains idle state and no action is triggered.</t>
  </si>
  <si>
    <t>Method: Configure $StWhl_PhoneAnswer$ = [Not_Pressed] or $StWhl_PhoneHangup$ = [Not_Pressed] or $StWhl_VoiceRecognition$ = [Not_Pressed] and verify the HU shall not initiate any button pressed behavior</t>
  </si>
  <si>
    <t>CFTS042-4813004</t>
  </si>
  <si>
    <t>NRL-67887</t>
  </si>
  <si>
    <t>SWE1-SWC-097</t>
  </si>
  <si>
    <t>NRL-67888</t>
  </si>
  <si>
    <t>SWE1-SWC-098</t>
  </si>
  <si>
    <t>NRL-67889</t>
  </si>
  <si>
    <t>SWE1-SWC-099</t>
  </si>
  <si>
    <t>Phone Answer+VR and Hangup Buttons</t>
  </si>
  <si>
    <t>HW supplier shall notify Not_Pressed state via VHAL.                                                                                                                                                                                                                                                                                                                                                                                                                                            CarPropertyService forwards to ExternalInputKeyService, maintaining idle state.</t>
  </si>
  <si>
    <t xml:space="preserve">Method: Configure $StWhl_PhoneAnswer+VR$ = [Not_Pressed] or $StWhl_PhoneHangup$ = [Not_Pressed] </t>
  </si>
  <si>
    <t>CFTS042-4813022</t>
  </si>
  <si>
    <t>NRL-67897</t>
  </si>
  <si>
    <t>SWE1-SWC-107</t>
  </si>
  <si>
    <t>Method: Configure                       $Audio Steering Wheel Controls on the IPC$ = [Enabled] and verify the support for 'Audio Controls on the IPC' feature</t>
  </si>
  <si>
    <t>CFTS042-4813362</t>
  </si>
  <si>
    <t>NRL-67898</t>
  </si>
  <si>
    <t>SWE1-SWC-108</t>
  </si>
  <si>
    <t>Method: Configure    $Cluster_In_Audio_Md$ = [Not Active] or $AudioMenuPopup$ = [Active] and verify HU for ignoring the steering wheel signal values received in $Command_11$, $Command_13$ and $Command_15$.</t>
  </si>
  <si>
    <t>CFTS042-4813363</t>
  </si>
  <si>
    <t>NRL-67899</t>
  </si>
  <si>
    <t>SWE1-SWC-109</t>
  </si>
  <si>
    <t>HW supplier shall notify the steering wheel command signals via the VHAL interface.
CarPropertyService shall receive the steering wheel command signals and forward them to ExternalInputKeyService.
ExternalInputKeyService shall receive and convert the received VHAL signals into key events.
If the HU receives $Cluster_In_Audio_Md$ = [Active] and $AudioMenuPopup$ = [Not_Active], the HU shall determine the response for $Command_11$ = [Pressed], $Command_13$ = [Pressed], or $Command_15$ = [Pressed] based on the corresponding button functionality defined in [10 inch EVIC - HMI], section 'Menu Structure - Audio Menu - Left/Right/OK Button Functions'.</t>
  </si>
  <si>
    <t>Method: Configure $Cluster_In_Audio_Md$ = [Active] and $AudioMenuPopup$ = [Not_Active] and verify HU for ignoring the steering wheel signal values received.</t>
  </si>
  <si>
    <t>CFTS042-4813364</t>
  </si>
  <si>
    <t>NRL-67904</t>
  </si>
  <si>
    <t>SWE1-SWC-114</t>
  </si>
  <si>
    <t>Method: Configure  $StWhl_VolumeUp$ = [SNA] while HU is initiating a volume up operation and  check for stopping the volume up function.</t>
  </si>
  <si>
    <t>CFTS042-4813341</t>
  </si>
  <si>
    <t>NRL-67905</t>
  </si>
  <si>
    <t xml:space="preserve">SWE1-SWC-115 </t>
  </si>
  <si>
    <t>Method: Configure  $StWhl_VolumeUp$ = [Not_Pressed] while HU is initiating a volume up operation and verify HU for stopping the volume up function.</t>
  </si>
  <si>
    <t>CFTS042-4813339</t>
  </si>
  <si>
    <t>NRL-67906</t>
  </si>
  <si>
    <t>SWE1-SWC-116</t>
  </si>
  <si>
    <t>Method: Configure  $StWhl_VolumeDown$ = [Pressed] while HU is initiating a volume up operation and verify HU for initiate a volume down function</t>
  </si>
  <si>
    <t>CFTS042-4813340</t>
  </si>
  <si>
    <t>NRL-67907</t>
  </si>
  <si>
    <t xml:space="preserve">SWE1-SWC-117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</si>
  <si>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 [14_LIN_button_NAFTA], the system shall map the received key event to the Volume Up function configured for the right top button in HMI.
When $StWhl_VolumeUp$ = [Pressed] is received, the HU shall increment the volume by one step and, after 500 msec, continue incrementing the volume at a rate of one step every 200 msec until $StWhl_VolumeUp$ &lt;&gt; [Pressed] is received or the maximum volume level has been reached.</t>
  </si>
  <si>
    <t>Method: Configure $StWhl_VolumeUp$ = [Pressed] and verify HU for increment the volume by one step and then after 500 msec shall increment the volume at a rate of one step every 200 msec</t>
  </si>
  <si>
    <t>CFTS042-4813338</t>
  </si>
  <si>
    <t>NRL-67908</t>
  </si>
  <si>
    <t>SWE1-SWC-118</t>
  </si>
  <si>
    <t>HW supplier shall notify the $StWhl_VolumeUp$ signal via the VHAL interface when the steering wheel Volume Up button status changes.
CarPropertyService shall receive the $StWhl_VolumeUp$ signal and forward it to ExternalInputKeyService.
ExternalInputKeyService shall receive and convert the received VHAL signal into key events.
When $StWhl_VolumeUp$ = [Not_Pressed] or $StWhl_VolumeUp$ = [SNA] is received, the HU shall not initiate any volume up behavior change.</t>
  </si>
  <si>
    <t>Method: Configure $StWhl_VolumeUp$ = [Not_Pressed] or $StWhl_VolumeUp$ = [SNA] and verify HU for initiating any volume up behavior change</t>
  </si>
  <si>
    <t>CFTS042-4813337</t>
  </si>
  <si>
    <t>NRL-67910</t>
  </si>
  <si>
    <t>SWE1-SWC-120</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</si>
  <si>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[14_LIN_button_NAFTA], the system shall map the received key event to the Volume Up function configured for the right top button in HMI.                                                                                                                                                                                       The service shall execute the user-configured function corresponding to the right top steering wheel button.</t>
  </si>
  <si>
    <t>Method: Configure $StWhl_VolumeUp$ = [Pressed] while HU has initiated a volume down function and verify HU shall stop the volume down function and shall initiate a volume up function</t>
  </si>
  <si>
    <t>CFTS042-4813350</t>
  </si>
  <si>
    <t>NRL-67911</t>
  </si>
  <si>
    <t>SWE1-SWC-121</t>
  </si>
  <si>
    <t xml:space="preserve">Steering Wheel control Volume Down Function </t>
  </si>
  <si>
    <t>HW supplier shall notify the $StWhl_VolumeDown$ signal via the VHAL interface when the steering wheel Volume Down button status changes.
CarPropertyService shall receive the $StWhl_VolumeDown$ signal and forward it to ExternalInputKeyService.
ExternalInputKeyService shall receive and convert the received VHAL signal into key events.
When the HU has initiated a volume down function and $StWhl_VolumeDown$ = [Not_Pressed] is received, the HU shall stop the volume down function.</t>
  </si>
  <si>
    <t>Method: Configure $StWhl_VolumeDown$ = [Not_Pressed]  while HU has initiated a volume down function and verify HU for stopping the volume down function.</t>
  </si>
  <si>
    <t>CFTS042-4813351</t>
  </si>
  <si>
    <t>NRL-67912</t>
  </si>
  <si>
    <t xml:space="preserve">SWE1-SWC-122  </t>
  </si>
  <si>
    <t>CFTS042-4813349</t>
  </si>
  <si>
    <t>NRL-67913</t>
  </si>
  <si>
    <t>SWE1-SWC-123</t>
  </si>
  <si>
    <t>Method: Configure $StWhl_VolumeDown$ = [Pressed]  and verify HU for decrement the volume by one step and then after 500 msec shall decrement the volume at a rate of one step every 200 msec until a $StWhl_VolumeDown$ &lt;&gt; [Pressed] is received</t>
  </si>
  <si>
    <t>CFTS042-4813348</t>
  </si>
  <si>
    <t>NRL-67914</t>
  </si>
  <si>
    <t>SWE1-SWC-124</t>
  </si>
  <si>
    <t>Method: Configure $StWhl_VolumeDown$ = [Not_Pressed] or $StWhl_VolumeDown$ = [SNA] and verify HU for not initiating any volume down behavior change.</t>
  </si>
  <si>
    <t>CFTS042-4813347</t>
  </si>
  <si>
    <t>NRL-67916</t>
  </si>
  <si>
    <t>SWE1-SWC-126</t>
  </si>
  <si>
    <t>CFTS042-4813322</t>
  </si>
  <si>
    <t>NRL-67917</t>
  </si>
  <si>
    <t xml:space="preserve">SWE1-SWC-127  </t>
  </si>
  <si>
    <t>HW supplier shall notify the $StWhl_SeekUp$ signal via the VHAL interface.
CarPropertyService shall receive the $StWhl_SeekUp$ signal and forward it to ExternalInputKeyService.
ExternalInputKeyService shall receive and convert the received VHAL signal into key events.
When the HU has initiated a seek up function and $StWhl_SeekUp$ = [Not_Pressed] is received, the HU shall stop the seek up function.
The stop behavior shall be equivalent to a haptic button release event.</t>
  </si>
  <si>
    <t>Method: Configure $StWhl_SeekUp$ = [Not_Pressed] and verify for stopping the seek up function</t>
  </si>
  <si>
    <t>CFTS042-4813320</t>
  </si>
  <si>
    <t>NRL-67918</t>
  </si>
  <si>
    <t>SWE1-SWC-128</t>
  </si>
  <si>
    <t>HW supplier shall notify the $StWhl_SeekDown$ signal via the VHAL interface.
CarPropertyService shall receive the $StWhl_SeekDown$ signal and forward it to ExternalInputKeyService.
ExternalInputKeyService shall receive and convert the received VHAL signal into key events.
When the HU has initiated a seek up function and $StWhl_SeekDown$ = [Pressed] is received, the HU shall stop the seek up function.</t>
  </si>
  <si>
    <t>Method: Configure $StWhl_SeekDown$ = [Pressed] and verify for stopping the seek up function</t>
  </si>
  <si>
    <t>CFTS042-4813321</t>
  </si>
  <si>
    <t>NRL-67919</t>
  </si>
  <si>
    <t>SWE1-SWC-129</t>
  </si>
  <si>
    <t>HW supplier shall notify the $StWhl_SeekUp$ signal via the VHAL interface.
CarPropertyService shall receive the $StWhl_SeekUp$ signal and forward it to ExternalInputKeyService.
ExternalInputKeyService shall receive and convert the received VHAL signal into key events.
When $StWhl_SeekUp$ = [Pressed] is received, the HU shall initiate a seek up behavior change, based on the cabin mode, in a similar manner to the haptic SEEK UP button press event.
The HU shall execute the radio and player behavior requirements as defined in Chapter {CFTS024 Specific HU Radio Functions} and Chapter {CFTS025 Player Functions}.</t>
  </si>
  <si>
    <t>Method: Configure $StWhl_SeekUp$ = [Pressed] and verify for initiating a seek up behavior change</t>
  </si>
  <si>
    <t>CFTS042-4813318</t>
  </si>
  <si>
    <t>NRL-67920</t>
  </si>
  <si>
    <t>SWE1-SWC-130</t>
  </si>
  <si>
    <t>Method: Configure $StWhl_SeekUp$ = [Not_Pressed] or $StWhl_SeekUp$ = [SNA] and verify for not initiating any seek up behavior change</t>
  </si>
  <si>
    <t>CFTS042-4813317</t>
  </si>
  <si>
    <t>NRL-67921</t>
  </si>
  <si>
    <t>SWE1-SWC-131</t>
  </si>
  <si>
    <t>HW supplier shall notify the $StWhl_SeekUp$ signal via the VHAL interface.
CarPropertyService shall receive the $StWhl_SeekUp$ signal and forward it to ExternalInputKeyService.
ExternalInputKeyService shall receive and convert the received VHAL signal into key events.
If $StWhl_SeekUp$ = [Pressed] is received and is not followed by $StWhl_SeekUp$ &lt;&gt; [Pressed], the HU shall initiate a continuous seek up function in a similar manner to a haptic button held.</t>
  </si>
  <si>
    <t>Method: Configure$StWhl_SeekUp$ = [Pressed] and verify for initiating a continuous seek up function</t>
  </si>
  <si>
    <t>CFTS042-4813319</t>
  </si>
  <si>
    <t>NRL-67923</t>
  </si>
  <si>
    <t>SWE1-SWC-133</t>
  </si>
  <si>
    <t>Method: Configure $StWhl_SeekUp$ = [Pressed]  while a seek down function is going on and verify HU for stopping the seek down function</t>
  </si>
  <si>
    <t>CFTS042-4813334</t>
  </si>
  <si>
    <t>NRL-67924</t>
  </si>
  <si>
    <t>SWE1-SWC-134</t>
  </si>
  <si>
    <t>HW supplier shall notify the $StWhl_SeekDown$ signal via the VHAL interface.
CarPropertyService shall receive the $StWhl_SeekDown$ signal and forward it to ExternalInputKeyService.
ExternalInputKeyService shall receive and convert the received VHAL signal into key events.
When the HU has initiated a seek down function and $StWhl_SeekDown$ = [SNA] is received, the HU shall stop the seek down function in a similar manner as a haptic button release.</t>
  </si>
  <si>
    <t>Method: Configure $StWhl_SeekDown$ = [SNA] while a seek down function is going on and verify HU for stopping the seek down function</t>
  </si>
  <si>
    <t>CFTS042-4813335</t>
  </si>
  <si>
    <t>NRL-67925</t>
  </si>
  <si>
    <t xml:space="preserve">SWE1-SWC-135  </t>
  </si>
  <si>
    <t>Method: Configure $StWhl_SeekDown$ = [Not_Pressed] while a seek down function is going on and verify HU for stopping the seek down function</t>
  </si>
  <si>
    <t>CFTS042-4813333</t>
  </si>
  <si>
    <t>NRL-67926</t>
  </si>
  <si>
    <t>SWE1-SWC-136</t>
  </si>
  <si>
    <t>Method: Configure$StWhl_SeekDown$ = [Pressed] and verify HU for initiating a seek down behavior change.</t>
  </si>
  <si>
    <t>CFTS042-4813331</t>
  </si>
  <si>
    <t>NRL-67927</t>
  </si>
  <si>
    <t>SWE1-SWC-137</t>
  </si>
  <si>
    <t>CFTS042-4813330</t>
  </si>
  <si>
    <t>NRL-67928</t>
  </si>
  <si>
    <t>SWE1-SWC-138</t>
  </si>
  <si>
    <t>HW supplier shall notify the SeekDown signals via the VHAL interface.
CarPropertyService shall receive the steering wheel signals and forward them to ExternalInputKeyService.
ExternalInputKeyService shall receive and convert received signals into key events.
When the HU has initiated a seek up function and $StWhl_SeekDown$ = [Pressed] is received,
The HU shall stop the seek up function.</t>
  </si>
  <si>
    <t>CFTS042-4813332</t>
  </si>
  <si>
    <t>NRL-67930</t>
  </si>
  <si>
    <t xml:space="preserve">SWE1-SWC-140    </t>
  </si>
  <si>
    <t>Method: Configure $StWhl_AudioPresetAdvance$ = [Pressed]  and verify HU for advance to the next sequential preset from the current preset.</t>
  </si>
  <si>
    <t>CFTS042-4813325</t>
  </si>
  <si>
    <t>NRL-67931</t>
  </si>
  <si>
    <t>SWE1-SWC-141</t>
  </si>
  <si>
    <t>Method: Configure$StWhl_AudioPresetAdvance$ = [Pressed], and verify HU tune to the first programmed preset for that mode if HU is not tuned to a preset.</t>
  </si>
  <si>
    <t>CFTS042-4813326</t>
  </si>
  <si>
    <t>NRL-67932</t>
  </si>
  <si>
    <t>SWE1-SWC-142</t>
  </si>
  <si>
    <t>Method: Configure $StWhl_AudioPresetAdvance$ = [pressed ]button and check for  audio presets.</t>
  </si>
  <si>
    <t>CFTS042-4813328</t>
  </si>
  <si>
    <t>NRL-67933</t>
  </si>
  <si>
    <t xml:space="preserve">SWE1-SWC-143   </t>
  </si>
  <si>
    <t>HW supplier shall notify the $StWhl_AudioPresetAdvance$ signal via the VHAL interface.
CarPropertyService shall receive the $StWhl_AudioPresetAdvance$ signal and forward it to ExternalInputKeyService.
ExternalInputKeyService shall receive and convert the VHAL signal into key events.
When the HU receives $StWhl_AudioPresetAdvance$ = [Not_Pressed] or $StWhl_AudioPresetAdvance$ = [SNA], the HU shall not initiate a preset advance.</t>
  </si>
  <si>
    <t xml:space="preserve"> Method: Configure $StWhl_AudioPresetAdvance$ = [Not pressed ]button and check for  audio presets.</t>
  </si>
  <si>
    <t>CFTS042-4813324</t>
  </si>
  <si>
    <t>NRL-67934</t>
  </si>
  <si>
    <t>SWE1-SWC-144</t>
  </si>
  <si>
    <t>Method: Configure $StWhl_AudioPresetAdvance$ = [ pressed ]button and check for  audio presets, No $StWhl_AudioPresetAdvance$ = [ pressed ]button should be accepted until $StWhl_AudioPresetAdvance$ = [ No_pressed ]</t>
  </si>
  <si>
    <t>CFTS042-4813327</t>
  </si>
  <si>
    <t>NRL-67936</t>
  </si>
  <si>
    <t>SWE1-SWC-146</t>
  </si>
  <si>
    <t xml:space="preserve"> Method: Configure$StWhl_AudioModeAdvance$ = [Pressed] button and check for  audiomode change sequential</t>
  </si>
  <si>
    <t>CFTS042-4813343</t>
  </si>
  <si>
    <t>NRL-67937</t>
  </si>
  <si>
    <t>SWE1-SWC-147</t>
  </si>
  <si>
    <t>HW supplier shall notify the $StWhl_AudioModeAdvance$ signal via the VHAL interface.
CarPropertyService shall receive the $StWhl_AudioModeAdvance$ signal and forward it to ExternalInputKeyService.
ExternalInputKeyService shall convert the received signal into a key event.
When $StWhl_AudioModeAdvance$ = [Not_Pressed] is received,
The HU shall not initiate any mode advance function.</t>
  </si>
  <si>
    <t xml:space="preserve"> Method: Configure$StWhl_AudioModeAdvance$ = [Not Pressed] button and check for  audio mode does not change.</t>
  </si>
  <si>
    <t>CFTS042-4813344</t>
  </si>
  <si>
    <t>NRL-67938</t>
  </si>
  <si>
    <t>SWE1-SWC-148</t>
  </si>
  <si>
    <t>HW supplier shall notify the $StWhl_AudioModeAdvance$ signal via the VHAL interface.
CarPropertyService shall receive the $StWhl_AudioModeAdvance$ signal and forward it to ExternalInputKeyService.
ExternalInputKeyService shall convert the received VHAL signal into key events.
After receiving $StWhl_AudioModeAdvance$ = [Pressed] and the mode is advanced, the HU shall not advance to another mode until $StWhl_AudioModeAdvance$ = [Not_Pressed] is received to reset the button and another $StWhl_AudioModeAdvance$ = [Pressed] is received.
The MODE button shall not support continuous button press behavior. The button must be released and pressed again to continue advancing to the next mode. In this context, MODE refers to the various Infotainment Audio/Video Sources used by the Cabin Output Channel within the Radio and Player Groups of sources.</t>
  </si>
  <si>
    <t xml:space="preserve"> Method: Configure$StWhl_AudioModeAdvance$ = [Pressed] button and mode is advanced, check for  audio mode does not advance until Press$StWhl_AudioModeAdvance$ = [Not Pressed] .</t>
  </si>
  <si>
    <t>CFTS042-4813345</t>
  </si>
  <si>
    <t>NRL-67941</t>
  </si>
  <si>
    <t>SWE1-SWC-151</t>
  </si>
  <si>
    <t>NRL-67942</t>
  </si>
  <si>
    <t>SWE1-SWC-152</t>
  </si>
  <si>
    <t>NRL-67943</t>
  </si>
  <si>
    <t>SWE1-SWC-153</t>
  </si>
  <si>
    <t>Phone Answer and Hangup Buttons  [HFP is in progress]</t>
  </si>
  <si>
    <t>HW supplier shall send Phone Answer or Hangup Pressed via VHAL interface.                                                                                                                                                                                                                                                                                                                                                                                                                                                   CarPropertyService shall receive the event and forward it to ExternalInputKeyService.                                                                                                                                                                                                                                                                                                                                                                            This service shall receive and convert it into an input event and route it to Bluetooth HFP to answer or terminate the ongoing call.</t>
  </si>
  <si>
    <t>Method: Configure $StWhl_PhoneAnswer$ = [Pressed] or  $StWhl_PhoneHangup$ = [Pressed] button  and check associated button behaviour</t>
  </si>
  <si>
    <t>CFTS042-4813374</t>
  </si>
  <si>
    <t>NRL-67944</t>
  </si>
  <si>
    <t>SWE1-SWC-154</t>
  </si>
  <si>
    <t xml:space="preserve">Phone Answer [HFP not in progress] </t>
  </si>
  <si>
    <t>HW supplier shall send Phone Answer Pressed via VHAL interface.                                                                                                                                                                                                                                                                                                                                                                                                                                                   CarPropertyService shall receive the event and forward it to ExternalInputKeyService.                                                                                                                                                                                                                                                                                                                                                                            This service shall process the event and no Bluetooth HFP action shall be triggered.</t>
  </si>
  <si>
    <t xml:space="preserve">Method: Configure                                   Ignition on, power on and press $StWhl_PhoneAnswer$ = [Pressed] button  </t>
  </si>
  <si>
    <t>CFTS042-4813373</t>
  </si>
  <si>
    <t>NRL-67945</t>
  </si>
  <si>
    <t>SWE1-SWC-155</t>
  </si>
  <si>
    <t>Method: Configure   $StWhl_PhoneAnswer$ = [Not_Pressed] or $StWhl_PhoneHangup$ = [Not_Pressed] or $StWhl_VoiceRecognition$ = [Not_Pressed] button  and check associated button behaviour</t>
  </si>
  <si>
    <t>CFTS042-4813372</t>
  </si>
  <si>
    <t>NRL-67954</t>
  </si>
  <si>
    <t>SWE1-SWC-164</t>
  </si>
  <si>
    <t xml:space="preserve">Steering wheel Controls command handling </t>
  </si>
  <si>
    <t>HW supplier shall notify Key-Off and Pre Key-Off via the VHAL interface.
When the system is in Key-Off or Pre Key-Off status,
The TLM shall not manage or process steering wheel control commands.
Any steering wheel input signals received during these states shall be ignored and shall not trigger any function</t>
  </si>
  <si>
    <t>Method: Configure                                              check for key -off amd pre key off status</t>
  </si>
  <si>
    <t>CFTS042-4813310</t>
  </si>
  <si>
    <t>NRL-67957</t>
  </si>
  <si>
    <t>SWE1-SWC-167</t>
  </si>
  <si>
    <t>Steering Wheel Dual Button Press Handling</t>
  </si>
  <si>
    <t>HW supplier shall notify steering wheel control signals via the VHAL interface.
CarPropertyService shall receive the steering wheel control signals and forward them to ExternalInputKeyService.
ExternalInputKeyService shall receive and convert the received signals into key events.
When two steering wheel buttons are pressed simultaneously, the system shall evaluate the received inputs.
The system shall determine the command to be executed based on the predefined dual-button handling logic.</t>
  </si>
  <si>
    <t>Method: Configure                                 check for multiple button pressed</t>
  </si>
  <si>
    <t>CFTS042-4813306</t>
  </si>
  <si>
    <t>NRL-67960</t>
  </si>
  <si>
    <t xml:space="preserve">SWE1-SWC-170          </t>
  </si>
  <si>
    <t>Steering wheel Controls</t>
  </si>
  <si>
    <t>HW supplier shall notify steering wheel button events via the VHAL interface.
CarPropertyService shall receive the steering wheel button events and forward them to ExternalInputKeyService.
ExternalInputKeyService shall receive and convert the received events into key events 
SW shall determine the status of each event as “active” or “released”.
TheN SWshall evaluate the time gap between “active” and “released” conditions to identify whether the input corresponds to a short press or a long press.
SW shall process the corresponding function based on the identified press type.</t>
  </si>
  <si>
    <t>Method: Configure                                         TLM to receive the steering wheel control button events and convert event into internal signal</t>
  </si>
  <si>
    <t>CFTS042-4813279</t>
  </si>
  <si>
    <t>NRL-67961</t>
  </si>
  <si>
    <t>SWE1-SWC-171</t>
  </si>
  <si>
    <t>HW supplier shall notify steering wheel button events via the VHAL interface.
CarPropertyService shall receive the steering wheel button events and forward them to ExternalInputKeyService.
ExternalInputKeyService shall convert the received events into key events 
SW shall determine the status of each event as “active” or “released”.
TheN SWshall evaluate the time gap between “active” and “released” conditions to identify whether the input corresponds to a short press or a long press.
SW shall process the corresponding function based on the identified press type.</t>
  </si>
  <si>
    <t>Method: Configure                             TLM to receive the steering wheel control button events and convert event into internal signal</t>
  </si>
  <si>
    <t>CFTS042-4813281</t>
  </si>
  <si>
    <t>NRL-67963</t>
  </si>
  <si>
    <t xml:space="preserve">  SWE1-SWC-173</t>
  </si>
  <si>
    <t>TLM Volume Up</t>
  </si>
  <si>
    <t xml:space="preserve">HW supplier shall notify the VolumeUp signal via the VHAL interface.
CarPropertyService shall receive the $StWhl_VolumeUp$ signal.
SW shall update TLM_Vol_UP_Status Info internal signal  based on the $StWhl_VolumeUp$ signal.
</t>
  </si>
  <si>
    <t>Method: Configure                            check for TLM Vol Up Status</t>
  </si>
  <si>
    <t>CFTS042-4813283</t>
  </si>
  <si>
    <t>NRL-67964</t>
  </si>
  <si>
    <t xml:space="preserve">  SWE1-SWC-174</t>
  </si>
  <si>
    <t>TLM Volume Down</t>
  </si>
  <si>
    <t xml:space="preserve">HW supplier shall notify the VolumeDown signal via the VHAL interface.
CarPropertyService shall receive the VolumeDown signal.                                                                                                                                                                                                                                                                                                                                                                                                                                                                                                                                                                                                                                                                                                                                                                                                                                 SW shall process the received key event and generate the internal signal TLM_Vol_DOWN_Status Info.
</t>
  </si>
  <si>
    <t>Method: Configure                     check for TLM Vol Down Status</t>
  </si>
  <si>
    <t>CFTS042-4813284</t>
  </si>
  <si>
    <t>NRL-67965</t>
  </si>
  <si>
    <t xml:space="preserve">  SWE1-SWC-175</t>
  </si>
  <si>
    <t>TLM Voice Recognition</t>
  </si>
  <si>
    <t xml:space="preserve">HW supplier shall notify the $StWhl_VoiceRecognition$ signal via the VHAL interface.
CarPropertyService shall receive the $StWhl_VoiceRecognition$ signal.
The SW shall process the received key event and generate the internal signal TLM_Voice_Status.Info.
</t>
  </si>
  <si>
    <t xml:space="preserve"> Method: Configure                       check for TLM_Voice_Status.Inf Status</t>
  </si>
  <si>
    <t>CFTS042-4813291</t>
  </si>
  <si>
    <t>NRL-67966</t>
  </si>
  <si>
    <t xml:space="preserve">  SWE1-SWC-176</t>
  </si>
  <si>
    <t>TLM Seek Up</t>
  </si>
  <si>
    <t xml:space="preserve">HW supplier shall notify the $StWhl_SeekUp$ signal via the VHAL interface.
CarPropertyService shall receive the $StWhl_SeekUp$ signal.
The SW shall process the received key event and generate the internal signal TLM_Scan_UP_Status.Info.
</t>
  </si>
  <si>
    <t>Method: Configure check for     TLM_Scan_UP_Status.Info Status</t>
  </si>
  <si>
    <t>CFTS042-4813286</t>
  </si>
  <si>
    <t>NRL-67967</t>
  </si>
  <si>
    <t xml:space="preserve">  SWE1-SWC-177</t>
  </si>
  <si>
    <t>TLM Seek Down</t>
  </si>
  <si>
    <t xml:space="preserve">HW supplier shall notify the SeekDown signal via the VHAL interface.
CarPropertyService shall receive the SeekDown signal.
The SW shall process the received key event and generate the internal signal TLM_Scan_Down_Status.Info.
</t>
  </si>
  <si>
    <t>Method: Configure check for TLM_Scan_DOWN_Status.Info Status</t>
  </si>
  <si>
    <t>CFTS042-4813287</t>
  </si>
  <si>
    <t>NRL-67968</t>
  </si>
  <si>
    <t xml:space="preserve">  SWE1-SWC-178</t>
  </si>
  <si>
    <t xml:space="preserve">TLM AudioPresetAdvance </t>
  </si>
  <si>
    <t xml:space="preserve">HW supplier shall notify the $StWhl_AudioPresetAdvance$ signal via the VHAL interface.
CarPropertyService shall receive the $StWhl_AudioPresetAdvance$ signal.
The SW shall process the received key event and generate the internal signal TLM_Preset_Status.Info.
</t>
  </si>
  <si>
    <t>Method: Configure check for TLM_Preset_Status.Info  Status</t>
  </si>
  <si>
    <t>CFTS042-4813288</t>
  </si>
  <si>
    <t>NRL-67969</t>
  </si>
  <si>
    <t xml:space="preserve">  SWE1-SWC-179</t>
  </si>
  <si>
    <t>TLM PhoneAnswer</t>
  </si>
  <si>
    <t>HW supplier shall notify the PhoneAnswer signal via the VHAL interface.
CarPropertyService shall receive the PhoneAnswer signal.
The SW shall process the received key event and generate the internal signal TLM_PickUp_Status.Info.</t>
  </si>
  <si>
    <t>Method: Configure check for TLM_PickUp_Status.Info  Statuss</t>
  </si>
  <si>
    <t>CFTS042-4813289</t>
  </si>
  <si>
    <t>NRL-67970</t>
  </si>
  <si>
    <t xml:space="preserve">  SWE1-SWC-180</t>
  </si>
  <si>
    <t>TLM Mute</t>
  </si>
  <si>
    <t xml:space="preserve">HW supplier shall notify the Mute signal via the VHAL interface.
CarPropertyService shall receive the Mute signal.
The SW shall process the received key event and generate the internal signal TLM_Mute_Status.Info.
</t>
  </si>
  <si>
    <t>Method: Configure check for TLM_Mute_Status.Info  Status</t>
  </si>
  <si>
    <t>CFTS042-4813285</t>
  </si>
  <si>
    <t>NRL-67971</t>
  </si>
  <si>
    <t xml:space="preserve">  SWE1-SWC-181</t>
  </si>
  <si>
    <t>TLM PhoneHangup</t>
  </si>
  <si>
    <t xml:space="preserve">HW supplier shall notify the $StWhl_PhoneHangup$ signal via the VHAL interface.
CarPropertyService shall receive the $StWhl_PhoneHangup$ signal.
The SW shall process the received key event and generate the internal signal TLM_HangUp_Status.Info.
</t>
  </si>
  <si>
    <t>Method: Configure check for  TLM_HangUp_Status.Info Status</t>
  </si>
  <si>
    <t>CFTS042-4813290</t>
  </si>
  <si>
    <t>NRL-67974</t>
  </si>
  <si>
    <t xml:space="preserve">  SWE1-SWC-184</t>
  </si>
  <si>
    <t xml:space="preserve">Steering Wheel Control Commands handling </t>
  </si>
  <si>
    <t xml:space="preserve">HW supplier shall notify steering wheel control signals via the VHAL interface.
CarPropertyService shall receive the steering wheel control signals and forward them to ExternalInputKeyService.
ExternalInputKeyService shall receive and convert the received signals into key events 
SW shall monitor the $SteeringWheelButtonGroups$ configuration.
When $SteeringWheelButtonGroups$ = [Not present], the SW shall not manage or process steering wheel control commands.
</t>
  </si>
  <si>
    <t>Method: Configure check for $SteeringWheelButtonGroups$ = [Not present]</t>
  </si>
  <si>
    <t>CFTS042-4813297</t>
  </si>
  <si>
    <t>NRL-67975</t>
  </si>
  <si>
    <t xml:space="preserve">  SWE1-SWC-185</t>
  </si>
  <si>
    <t xml:space="preserve">CAN </t>
  </si>
  <si>
    <t xml:space="preserve">(image: 1-_78603890-d957-409b-9e7e-b0e84ec42a6e.rtf), (image: 1-_1b96de54-a1de-47f0-8005-c0056ec3e83b.rtf)_x000D_
_x000D_
</t>
  </si>
  <si>
    <t>CFTS042-4813293, 4813294</t>
  </si>
  <si>
    <t>NRL-67982</t>
  </si>
  <si>
    <t xml:space="preserve">  SWE1-SWC-192</t>
  </si>
  <si>
    <t xml:space="preserve">Steering Wheel Control </t>
  </si>
  <si>
    <t>HW supplier shall notify steering wheel button press events via the VHAL interface.
CarPropertyService shall receive the steering wheel button events and forward them to ExternalInputKeyService.
ExternalInputKeyService shall receive and convert the received signals into key events and forward them to the TLM.
The SW shall process steering wheel events as and when they are received.
When multiple input events are received, the most recent event shall take highest priority.
If a new event is received before the previous event processing is completed, the system shall cancel the previous event action.
The system shall process and execute the action corresponding to the most recent event.</t>
  </si>
  <si>
    <t>Method: Configure check for preset button press if ignored</t>
  </si>
  <si>
    <t>CFTS042-4812938</t>
  </si>
  <si>
    <t>NRL-67990</t>
  </si>
  <si>
    <t xml:space="preserve">  SWE1-SWC-200</t>
  </si>
  <si>
    <t>TLM Algorithm Requirements</t>
  </si>
  <si>
    <t>IF
 TLM receives $StWhlErrorStatus$ set to "Error present" value
THEN
 TLM shall perform no actions (currently this parameter is for future preparation)</t>
  </si>
  <si>
    <t>Method: Configure check for Stuck button status</t>
  </si>
  <si>
    <t>CFTS042-4813453</t>
  </si>
  <si>
    <t>NRL-67993</t>
  </si>
  <si>
    <t xml:space="preserve">  SWE1-SWC-203</t>
  </si>
  <si>
    <t>Steering Wheel Stuck Button Detection and DTC</t>
  </si>
  <si>
    <t>When a steering wheel button $StWhl_*$  is  [Pressed] for longer than Tpl, the HW shall detect a stuck button condition.
Upon detection of the stuck button condition, the HW shall set a DTC.
It  shall internally consider the corresponding switch state as [Not_Pressed] during the stuck condition.
The TLM shall maintain this condition until the steering wheel signal $StWhl_*$ transitions to [Not_Pressed].
When the steering wheel signal returns to [Not_Pressed], the HW shall clear the stuck button DTC.</t>
  </si>
  <si>
    <t>Method: Configure                    check for Stuck button status</t>
  </si>
  <si>
    <t>CFTS042-4813450</t>
  </si>
  <si>
    <t>NRL-67997</t>
  </si>
  <si>
    <t xml:space="preserve">  SWE1-SWC-207</t>
  </si>
  <si>
    <t>Steering Wheel Control</t>
  </si>
  <si>
    <t>Method: Configure                     check for Stuck button status</t>
  </si>
  <si>
    <t>CFTS042-4813444, 4813442, 4813440, 4813438, 4813436, 4813434, 4813432, 4813430, 4813446, 4813428</t>
  </si>
  <si>
    <t>NRL-68011</t>
  </si>
  <si>
    <t xml:space="preserve">  SWE1-SWC-221</t>
  </si>
  <si>
    <t>Short Press and Long Press Time Duration</t>
  </si>
  <si>
    <t>HW supplier shall notify steering wheel button events via the VHAL interface.
CarPropertyService shall receive the steering wheel button events and forward them to ExternalInputKeyService.
ExternalInputKeyService shall receive and convert the received events into key events and forward them to the software.
The SW shall monitor the duration of each steering wheel button press event.
The SW shall determine the time duration between [Pressed] and [Not_Pressed] states.
It shall classify the button press as a short press or a long press based on the measured time duration.
The classification shall be based on predefined time thresholds.</t>
  </si>
  <si>
    <t>Method: Configure                            check for long pressure and short pressure of button press</t>
  </si>
  <si>
    <t>CFTS042-4813475</t>
  </si>
  <si>
    <t>NRL-68015</t>
  </si>
  <si>
    <t xml:space="preserve">  SWE1-SWC-225</t>
  </si>
  <si>
    <t>Plausibility Time for Very Long Button Press</t>
  </si>
  <si>
    <t>The system shall identify the plausibility time threshold for very long button press events.</t>
  </si>
  <si>
    <t>Method: Configure                   check for plausibity time for long pressure</t>
  </si>
  <si>
    <t>CFTS042-4813471</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</si>
  <si>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</si>
  <si>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</si>
  <si>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</si>
  <si>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</si>
  <si>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</si>
  <si>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</si>
  <si>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</si>
  <si>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</si>
  <si>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</si>
  <si>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</si>
  <si>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</si>
  <si>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</si>
  <si>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</si>
  <si>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</si>
  <si>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</si>
  <si>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 xml:space="preserve">文件名 Document name: STLA 測試用例規範和結果_SWQT
STLA Test Case Specification &amp; Result_SWQT </t>
  </si>
  <si>
    <t>版本 Version</t>
  </si>
  <si>
    <t>C</t>
  </si>
  <si>
    <t>修訂日期 Revision Date</t>
  </si>
  <si>
    <t>核准者 Approver</t>
  </si>
  <si>
    <t>劉安哲 AllenACLiu</t>
  </si>
  <si>
    <t>審查者 Reviewer</t>
  </si>
  <si>
    <t>張愷霏 ErinKFChang</t>
  </si>
  <si>
    <t>作者 Author</t>
  </si>
  <si>
    <t>修訂履歷  Revision History</t>
  </si>
  <si>
    <t>版本 Ver.</t>
  </si>
  <si>
    <t>修訂内容 Revision Content</t>
  </si>
  <si>
    <t>修訂人Reviser</t>
  </si>
  <si>
    <t>日期 Date</t>
  </si>
  <si>
    <t>A</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</si>
  <si>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</si>
  <si>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</si>
  <si>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</si>
  <si>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</si>
  <si>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</si>
  <si>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</si>
  <si>
    <t>產品文件
Product Document</t>
  </si>
  <si>
    <t>專案代號
Project Code</t>
  </si>
  <si>
    <t>文件名稱
Document Name</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</si>
  <si>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</si>
  <si>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</si>
  <si>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</si>
  <si>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</si>
  <si>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</si>
  <si>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</si>
  <si>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</si>
  <si>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</si>
  <si>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</si>
  <si>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</si>
  <si>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</si>
  <si>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</si>
  <si>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初版發佈</t>
  </si>
  <si>
    <t>No.#</t>
  </si>
  <si>
    <t>Test Case Design Methods</t>
  </si>
  <si>
    <t>功能測試 (Functional based ; no specific technique)</t>
  </si>
  <si>
    <t>狀態轉換 (State Transition Testing)</t>
  </si>
  <si>
    <t>有模式 / 流程的功能（播放、暫停、鎖定等）。</t>
  </si>
  <si>
    <t>例：Stopped + Play → Playing；Stopped + Resume 應被拒。</t>
  </si>
  <si>
    <t>決策表 (Decision Table Testing)</t>
  </si>
  <si>
    <t>條件×結果矩陣；多規則決定動作時用。</t>
  </si>
  <si>
    <t>等價劃分 (Equivalence Partitioning, EP)</t>
  </si>
  <si>
    <t>將行為相同的輸入分組，每組取代表值（含有效/無效）。</t>
  </si>
  <si>
    <t>例：本機/USB/BT/串流；格式：支援/不支援。</t>
  </si>
  <si>
    <t>邊界值分析 (Boundary Value Analysis, BVA)</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</si>
  <si>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</si>
  <si>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</si>
  <si>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</si>
  <si>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</si>
  <si>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</si>
  <si>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情境 / 用例 (Scenario / Use Case Testing)</t>
  </si>
  <si>
    <t>按真實流程端到端驗證；跨模組時用。</t>
  </si>
  <si>
    <t>例：插USB→掃描→播放→來電中斷→掛斷自動恢復播放。</t>
  </si>
  <si>
    <t>負向測試 (Negative / Invalid)</t>
  </si>
  <si>
    <t>故意做錯（錯的值 / 錯順序 / 缺前置），看系統會不會擋住＋提示。</t>
  </si>
  <si>
    <t>基礎故障注入 (Fault Injection Lite)</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</si>
  <si>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</si>
  <si>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</si>
  <si>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</si>
  <si>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</si>
  <si>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</si>
  <si>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</si>
  <si>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</si>
  <si>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</si>
  <si>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</si>
  <si>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</si>
  <si>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</si>
  <si>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</si>
  <si>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</si>
  <si>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</si>
  <si>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t>Steering Wheel Volume Down Button</t>
    <phoneticPr fontId="3" type="noConversion"/>
  </si>
  <si>
    <t>Steering Wheel Controls</t>
    <phoneticPr fontId="3" type="noConversion"/>
  </si>
  <si>
    <t>HW supplier shall notify the VolumeDown signal via the VHAL interface.                                                                                                                                                                                                                                                                                                                                                                                      CarPropertyService shall receive the $StWhl_VolumeDown$ signal and forwards it to ExternalInputKeyService.                                                                                                                                                                                                                                                                                                             ExternalInputKeyService shall receive and convert the received signal into a key event.                                                                                                                                                                                                                                                                                                                                                                                                              When $SteeringWheelButtonGroups$ is configured as [14_LIN_button_NAFTA], the system shall map the key event to the function configured for the right bottom button in HMI.                                                                                                                                                                                                                                                                                                  The system shall execute the user-configured function corresponding to the right bottom steering wheel button.</t>
    <phoneticPr fontId="3" type="noConversion"/>
  </si>
  <si>
    <t>AACP</t>
  </si>
  <si>
    <t>AACP</t>
    <phoneticPr fontId="3" type="noConversion"/>
  </si>
  <si>
    <t>HW supplier shall notify the $StWhl_VolumeUp$ signal via the VHAL interface when the steering wheel Volume Up button is pressed.
CarPropertyService shall receive the $StWhl_VolumeUp$ signal and forward it to ExternalInputKeyService.
ExternalInputKeyService shall convert the received signal into a key event.
When $SteeringWheelButtonGroups$ is configured as [14_LIN_button_NAFTA], the system shall map the key event to the function configured for the right top button in HMI.
The service shall execute the user-configured function corresponding to the right top steering wheel button.</t>
    <phoneticPr fontId="3" type="noConversion"/>
  </si>
  <si>
    <r>
      <t xml:space="preserve">Requirement or Design ID
</t>
    </r>
    <r>
      <rPr>
        <sz val="10"/>
        <color theme="1"/>
        <rFont val="PMingLiU"/>
        <family val="1"/>
        <charset val="136"/>
      </rPr>
      <t>需求</t>
    </r>
    <r>
      <rPr>
        <sz val="10"/>
        <color theme="1"/>
        <rFont val="Times New Roman"/>
        <family val="1"/>
      </rPr>
      <t>/</t>
    </r>
    <r>
      <rPr>
        <sz val="10"/>
        <color theme="1"/>
        <rFont val="PMingLiU"/>
        <family val="1"/>
        <charset val="136"/>
      </rPr>
      <t>設計</t>
    </r>
    <r>
      <rPr>
        <sz val="10"/>
        <color theme="1"/>
        <rFont val="Times New Roman"/>
        <family val="1"/>
      </rPr>
      <t xml:space="preserve"> ID</t>
    </r>
    <phoneticPr fontId="3" type="noConversion"/>
  </si>
  <si>
    <t>Mode Advance</t>
    <phoneticPr fontId="3" type="noConversion"/>
  </si>
  <si>
    <t>1. Ignition state = ON and HU is in Full-Operation state
2. PROXI RRM_VPx_Steering_Wheel_Command_Type = 14_LIN_button_EMEA
3. An Apple CarPlay-supported phone is paired with the HU
4. CarPlay media source is active and audible
5. CAN tool is available on HU</t>
    <phoneticPr fontId="3" type="noConversion"/>
  </si>
  <si>
    <t>CFTS042-4813403
Infotainment_and_Telematics_Steering_Wheel_Controls_Management_VF465_V3_R2
Steering_Wheel_Controls_HMI_Logic_and_Flow_SR24_DCR21423_august_3_2022-Source Advance</t>
    <phoneticPr fontId="3" type="noConversion"/>
  </si>
  <si>
    <t>1. Read the observable element on CarPlay UI and record value as State_initial
2. Send CAN: BCM_FD_14.Command_09Sts = 1 (PSD)
3. Hold for 200 ms
4. Send CAN: BCM_FD_14.Command_09Sts = 0 (NOT_PSD)
5. Read VHAL property $StWhl_ModeAdvance$ via adb / VHAL snapshot tool during step 2 to 3
6. Read the observable element on CarPlay UI within 1 second after step 4 and record value as State_after</t>
    <phoneticPr fontId="3" type="noConversion"/>
  </si>
  <si>
    <t>NA</t>
    <phoneticPr fontId="3" type="noConversion"/>
  </si>
  <si>
    <t>PeiPYHsu</t>
    <phoneticPr fontId="3" type="noConversion"/>
  </si>
  <si>
    <t>P1</t>
  </si>
  <si>
    <t>1. Ignition state = ON and HU is in Full-Operation state
2. PROXI RRM_VPx_Steering_Wheel_Command_Type = 14_LIN_button_EMEA
3. An Android Auto-supported phone is paired with the HU
4. Android Auto media source is active and audible
5. CAN tool is available on HU</t>
    <phoneticPr fontId="3" type="noConversion"/>
  </si>
  <si>
    <t>1. Read the observable element on Android Auto UI and record value as State_initial
2. Send CAN: BCM_FD_14.Command_09Sts = 1 (PSD)
3. Hold for 200 ms
4. Send CAN: BCM_FD_14.Command_09Sts = 0 (NOT_PSD)
5. Read VHAL property $StWhl_ModeAdvance$ via adb / VHAL snapshot tool during step 2 to 3
6. Read the observable element on Android Auto UI within 1 second after step 4 and record value as State_after</t>
    <phoneticPr fontId="3" type="noConversion"/>
  </si>
  <si>
    <t>1. State_initial is captured
2. BCM_FD_14.Command_09Sts = 1 (PSD) during press window
3. Signal is held for 200 ms
4. BCM_FD_14.Command_09Sts = 0 (NOT_PSD) after release
5. $StWhl_ModeAdvance$ = 1 observed at HU VHAL during step 2 to 3
6. State_after differs from State_initial by exactly one step of the configured action</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</si>
  <si>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rFont val="Times New Roman"/>
        <family val="1"/>
      </rPr>
      <t>(Left-middle configured action executes on Android Auto via Mode Advance under EMEA)</t>
    </r>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</si>
  <si>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rFont val="Times New Roman"/>
        <family val="1"/>
      </rPr>
      <t xml:space="preserve">
(Left-middle configured action executes on CarPlay via Mode Advance under EMEA)</t>
    </r>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</si>
  <si>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theme="1"/>
        <rFont val="Times New Roman"/>
        <family val="1"/>
      </rPr>
      <t>(AUX4-bound action triggers on CarPlay via Mode Advance under EMEA)</t>
    </r>
    <phoneticPr fontId="3" type="noConversion"/>
  </si>
  <si>
    <t>1. Ignition state = ON and HU is in Full-Operation state
2. PROXI RRM_VPx_Steering_Wheel_Command_Type = 14_LIN_button_EMEA
3. HMI: AUX4 is selected for the left-middle button
4. An Apple CarPlay-supported phone is paired with the HU
5. CarPlay media source is active and audible
6. CAN tool is available on HU</t>
    <phoneticPr fontId="3" type="noConversion"/>
  </si>
  <si>
    <t>1. Read the AUX4-bound observable element on CarPlay UI and record value as AUX4_state_initial
2. Send CAN: BCM_FD_14.Command_09Sts = 1 (PSD)
3. Hold for 200 ms
4. Send CAN: BCM_FD_14.Command_09Sts = 0 (NOT_PSD)
5. Read VHAL property $StWhl_ModeAdvance$ and HU internal $SWC_AUX_4$ during step 2 to 3
6. Read the AUX4-bound observable element on CarPlay UI within 1 second after step 4 and record as AUX4_state_after</t>
    <phoneticPr fontId="3" type="noConversion"/>
  </si>
  <si>
    <t>1. AUX4_state_initial is captured
2. BCM_FD_14.Command_09Sts = 1 (PSD) during press window
3. Signal is held for 200 ms
4. BCM_FD_14.Command_09Sts = 0 (NOT_PSD) after release
5. $StWhl_ModeAdvance$ = 1 and $SWC_AUX_4$ = 1 (Pressed) observed at HU during step 2 to 3
6. AUX4_state_after differs from AUX4_state_initial by exactly one step of the AUX4-bound action</t>
    <phoneticPr fontId="3" type="noConversion"/>
  </si>
  <si>
    <t>CFTS042-4813419
Infotainment_and_Telematics_Steering_Wheel_Controls_Management_VF465_V3_R2
Steering_Wheel_Controls_HMI_Logic_and_Flow_SR24_DCR21423_august_3_2022-Source Advance</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</si>
  <si>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theme="1"/>
        <rFont val="Times New Roman"/>
        <family val="1"/>
      </rPr>
      <t>(AUX4-bound action triggers on Android Auto via Mode Advance under EMEA)</t>
    </r>
    <phoneticPr fontId="3" type="noConversion"/>
  </si>
  <si>
    <t>1. Ignition state = ON and HU is in Full-Operation state
2. PROXI RRM_VPx_Steering_Wheel_Command_Type = 14_LIN_button_EMEA
3. HMI: AUX4 is selected for the left-middle button
4. An Android Auto-supported phone is paired with the HU
5. Android Auto media source is active and audible
6. CAN tool is available on HU</t>
    <phoneticPr fontId="3" type="noConversion"/>
  </si>
  <si>
    <t>1. Read the AUX4-bound observable element on Android Auto UI and record as AUX4_state_initial
2. Send CAN: BCM_FD_14.Command_09Sts = 1 (PSD)
3. Hold for 200 ms
4. Send CAN: BCM_FD_14.Command_09Sts = 0 (NOT_PSD)
5. Read VHAL property $StWhl_ModeAdvance$ and HU internal $SWC_AUX_4$ during step 2 to 3
6. Read the AUX4-bound observable element on Android Auto UI within 1 second after step 4 and record as AUX4_state_after</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</si>
  <si>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rFont val="Times New Roman"/>
        <family val="1"/>
      </rPr>
      <t>(AUX4-bound action triggers on CarPlay via Preset Advance under NAFTA)</t>
    </r>
    <phoneticPr fontId="3" type="noConversion"/>
  </si>
  <si>
    <t>1. Ignition state = ON and HU is in Full-Operation state
2. PROXI RRM_VPx_Steering_Wheel_Command_Type = 14_LIN_button_NAFTA
3. HMI: AUX4 is selected for the left-middle button
4. An Apple CarPlay-supported phone is paired with the HU
5. CarPlay media source is active and audible
6. CAN tool is available on HU</t>
    <phoneticPr fontId="3" type="noConversion"/>
  </si>
  <si>
    <t>1. Read the AUX4-bound observable element on CarPlay UI and record value as AUX4_state_initial
2. Send CAN: BCM_FD_14.Command_06Sts = 1 (PSD)
3. Hold for 200 ms
4. Send CAN: BCM_FD_14.Command_06Sts = 0 (NOT_PSD)
5. Read VHAL property $StWhl_AudioPresetAdvance$ and HU internal $SWC_AUX_4$ during step 2 to 3
6. Read the AUX4-bound observable element on CarPlay UI within 1 second after step 4 and record as AUX4_state_after</t>
    <phoneticPr fontId="3" type="noConversion"/>
  </si>
  <si>
    <t>1. AUX4_state_initial is captured
2. BCM_FD_14.Command_06Sts = 1 (PSD) during press window
3. Signal is held for 200 ms
4. BCM_FD_14.Command_06Sts = 0 (NOT_PSD) after release
5. $StWhl_AudioPresetAdvance$ = 1 and $SWC_AUX_4$ = 1 (Pressed) observed at HU during step 2 to 3
6. AUX4_state_after differs from AUX4_state_initial by exactly one step of the AUX4-bound action</t>
    <phoneticPr fontId="3" type="noConversion"/>
  </si>
  <si>
    <t>CFTS042-4813411
Infotainment_and_Telematics_Steering_Wheel_Controls_Management_VF465_V3_R2
Steering_Wheel_Controls_HMI_Logic_and_Flow_SR24_DCR21423_august_3_2022-Preset Advance</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</si>
  <si>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rFont val="Times New Roman"/>
        <family val="1"/>
      </rPr>
      <t>(AUX4-bound action triggers on Android Auto via Preset Advance under NAFTA)</t>
    </r>
    <phoneticPr fontId="3" type="noConversion"/>
  </si>
  <si>
    <t>1. Ignition state = ON and HU is in Full-Operation state
2. PROXI RRM_VPx_Steering_Wheel_Command_Type = 14_LIN_button_NAFTA
3. HMI: AUX4 is selected for the left-middle button
4. An Android Auto-supported phone is paired with the HU
5. Android Auto media source is active and audible
6. CAN tool is available on HU</t>
    <phoneticPr fontId="3" type="noConversion"/>
  </si>
  <si>
    <t>1. Read the AUX4-bound observable element on Android Auto UI and record as AUX4_state_initial
2. Send CAN: BCM_FD_14.Command_06Sts = 1 (PSD)
3. Hold for 200 ms
4. Send CAN: BCM_FD_14.Command_06Sts = 0 (NOT_PSD)
5. Read VHAL property $StWhl_AudioPresetAdvance$ and HU internal $SWC_AUX_4$ during step 2 to 3
6. Read the AUX4-bound observable element on Android Auto UI within 1 second after step 4 and record as AUX4_state_after</t>
    <phoneticPr fontId="3" type="noConversion"/>
  </si>
  <si>
    <r>
      <rPr>
        <sz val="10"/>
        <color theme="1"/>
        <rFont val="PMingLiU"/>
        <family val="1"/>
        <charset val="136"/>
      </rPr>
      <t>決策表</t>
    </r>
    <r>
      <rPr>
        <sz val="10"/>
        <color theme="1"/>
        <rFont val="Times New Roman"/>
        <family val="1"/>
      </rPr>
      <t xml:space="preserve"> (Decision Table Testing)</t>
    </r>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</si>
  <si>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theme="1"/>
        <rFont val="Times New Roman"/>
        <family val="1"/>
      </rPr>
      <t xml:space="preserve">
(AUX3-bound action triggers on CarPlay via Mode Advance under EMEA)
</t>
    </r>
    <phoneticPr fontId="3" type="noConversion"/>
  </si>
  <si>
    <t>1. Ignition state = ON and HU is in Full-Operation state
2. PROXI RRM_VPx_Steering_Wheel_Command_Type = 14_LIN_button_EMEA
3. HMI: AUX3 is selected for the left-middle button
4. An Apple CarPlay-supported phone is paired with the HU
5. CarPlay media source is active and audible
6. CAN tool is available on HU</t>
    <phoneticPr fontId="3" type="noConversion"/>
  </si>
  <si>
    <t>1. Read the AUX3-bound observable element on CarPlay UI and record as AUX3_state_initial
2. Send CAN: BCM_FD_14.Command_09Sts = 1 (PSD)
3. Hold for 200 ms
4. Send CAN: BCM_FD_14.Command_09Sts = 0 (NOT_PSD)
5. Read VHAL property $StWhl_ModeAdvance$ and HU internal $SWC_AUX_3$ during step 2 to 3
6. Read the AUX3-bound observable element on CarPlay UI within 1 second after step 4 and record as AUX3_state_after</t>
    <phoneticPr fontId="3" type="noConversion"/>
  </si>
  <si>
    <t>1. AUX3_state_initial is captured
2. BCM_FD_14.Command_09Sts = 1 (PSD) during press window
3. Signal is held for 200 ms
4. BCM_FD_14.Command_09Sts = 0 (NOT_PSD) after release
5. $StWhl_ModeAdvance$ = 1 and $SWC_AUX_3$ = 1 (Pressed) observed at HU during step 2 to 3
6. AUX3_state_after differs from AUX3_state_initial by exactly one step of the AUX3-bound action</t>
    <phoneticPr fontId="3" type="noConversion"/>
  </si>
  <si>
    <t>CFTS042-4813418
Infotainment_and_Telematics_Steering_Wheel_Controls_Management_VF465_V3_R2
Steering_Wheel_Controls_HMI_Logic_and_Flow_SR24_DCR21423_august_3_2022-Source Advance</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</si>
  <si>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theme="1"/>
        <rFont val="Times New Roman"/>
        <family val="1"/>
      </rPr>
      <t xml:space="preserve">
(AUX3-bound action triggers on Android Auto via Mode Advance under EMEA)
</t>
    </r>
    <phoneticPr fontId="3" type="noConversion"/>
  </si>
  <si>
    <t>1. Ignition state = ON and HU is in Full-Operation state
2. PROXI RRM_VPx_Steering_Wheel_Command_Type = 14_LIN_button_EMEA
3. HMI: AUX3 is selected for the left-middle button
4. An Android Auto-supported phone is paired with the HU
5. Android Auto media source is active and audible
6. CAN tool is available on HU</t>
    <phoneticPr fontId="3" type="noConversion"/>
  </si>
  <si>
    <t>1. Read the AUX3-bound observable element on Android Auto UI and record as AUX3_state_initial
2. Send CAN: BCM_FD_14.Command_09Sts = 1 (PSD)
3. Hold for 200 ms
4. Send CAN: BCM_FD_14.Command_09Sts = 0 (NOT_PSD)
5. Read VHAL property $StWhl_ModeAdvance$ and HU internal $SWC_AUX_3$ during step 2 to 3
6. Read the AUX3-bound observable element on Android Auto UI within 1 second after step 4 and record as AUX3_state_after</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</si>
  <si>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rFont val="Times New Roman"/>
        <family val="1"/>
      </rPr>
      <t>(AUX3-bound action triggers on CarPlay via Preset Advance under NAFTA)</t>
    </r>
    <phoneticPr fontId="3" type="noConversion"/>
  </si>
  <si>
    <t>CFTS042-4813421</t>
    <phoneticPr fontId="3" type="noConversion"/>
  </si>
  <si>
    <t>CFTS042-4813410
Infotainment_and_Telematics_Steering_Wheel_Controls_Management_VF465_V3_R2
Steering_Wheel_Controls_HMI_Logic_and_Flow_SR24_DCR21423_august_3_2022-Preset Advance</t>
    <phoneticPr fontId="3" type="noConversion"/>
  </si>
  <si>
    <t>P2</t>
  </si>
  <si>
    <t>1. Ignition state = ON and HU is in Full-Operation state
2. PROXI RRM_VPx_Steering_Wheel_Command_Type = 14_LIN_button_NAFTA
3. HMI: AUX3 is selected for the left-middle button
4. An Apple CarPlay-supported phone is paired with the HU
5. CarPlay media source is active and audible
6. CAN tool is available on HU</t>
    <phoneticPr fontId="3" type="noConversion"/>
  </si>
  <si>
    <t>1. Read the AUX3-bound observable element on CarPlay UI and record as AUX3_state_initial
2. Send CAN: BCM_FD_14.Command_06Sts = 1 (PSD)
3. Hold for 200 ms
4. Send CAN: BCM_FD_14.Command_06Sts = 0 (NOT_PSD)
5. Read VHAL property $StWhl_AudioPresetAdvance$ and HU internal $SWC_AUX_3$ during step 2 to 3
6. Read the AUX3-bound observable element on CarPlay UI within 1 second after step 4 and record as AUX3_state_after</t>
    <phoneticPr fontId="3" type="noConversion"/>
  </si>
  <si>
    <t>1. AUX3_state_initial is captured
2. BCM_FD_14.Command_06Sts = 1 (PSD) during press window
3. Signal is held for 200 ms
4. BCM_FD_14.Command_06Sts = 0 (NOT_PSD) after release
5. $StWhl_AudioPresetAdvance$ = 1 and $SWC_AUX_3$ = 1 (Pressed) observed at HU during step 2 to 3
6. AUX3_state_after differs from AUX3_state_initial by exactly one step of the AUX3-bound action</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</si>
  <si>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rFont val="Times New Roman"/>
        <family val="1"/>
      </rPr>
      <t>(AUX3-bound action triggers on Android Auto via Preset Advance under NAFTA)</t>
    </r>
    <phoneticPr fontId="3" type="noConversion"/>
  </si>
  <si>
    <t>1. Ignition state = ON and HU is in Full-Operation state
2. PROXI RRM_VPx_Steering_Wheel_Command_Type = 14_LIN_button_NAFTA
3. HMI: AUX3 is selected for the left-middle button
4. An Android Auto-supported phone is paired with the HU
5. Android Auto media source is active and audible
6. CAN tool is available on HU</t>
    <phoneticPr fontId="3" type="noConversion"/>
  </si>
  <si>
    <t>1. Read the AUX3-bound observable element on Android Auto UI and record as AUX3_state_initial
2. Send CAN: BCM_FD_14.Command_06Sts = 1 (PSD)
3. Hold for 200 ms
4. Send CAN: BCM_FD_14.Command_06Sts = 0 (NOT_PSD)
5. Read VHAL property $StWhl_AudioPresetAdvance$ and HU internal $SWC_AUX_3$ during step 2 to 3
6. Read the AUX3-bound observable element on Android Auto UI within 1 second after step 4 and record as AUX3_state_after</t>
    <phoneticPr fontId="3" type="noConversion"/>
  </si>
  <si>
    <r>
      <t xml:space="preserve">HW supplier shall notify the Voice Recognition command via the VHAL interface.
CarPropertyService receives the Voice Recognition command and forwards it to ExternalInputKeyService .
ExternalInputKeyService shall receive and converts VHAL commands into keyevents and forwards them to Bluetooth HFP.
CarPlay / Android Auto services shall subscribe the Voice Recognition command and  take necessary action to enable/disable VR
</t>
    </r>
    <r>
      <rPr>
        <b/>
        <sz val="10"/>
        <color theme="1"/>
        <rFont val="Times New Roman"/>
        <family val="1"/>
      </rPr>
      <t>(Siri activates on CarPlay via VR button when no call is active)</t>
    </r>
    <r>
      <rPr>
        <sz val="10"/>
        <color theme="1"/>
        <rFont val="Times New Roman"/>
        <family val="1"/>
      </rPr>
      <t xml:space="preserve">
</t>
    </r>
    <phoneticPr fontId="3" type="noConversion"/>
  </si>
  <si>
    <t>1. Read CarPlay UI for Siri overlay and call-screen presence and record as State_initial (expected: both absent)
2. Send CAN: BCM_FD_14.Command_07Sts = 1 (PSD)
3. Hold for 200 ms
4. Send CAN: BCM_FD_14.Command_07Sts = 0 (NOT_PSD)
5. Read VHAL property $StWhl_VoiceRecognition$ via adb / VHAL snapshot tool during step 2 to 3
6. Read CarPlay UI within 1 second after step 4 for Siri overlay presence and listen for Siri prompt tone</t>
    <phoneticPr fontId="3" type="noConversion"/>
  </si>
  <si>
    <t>1. State_initial = no Siri overlay, no call screen
2. BCM_FD_14.Command_07Sts = 1 (PSD) during press window
3. Signal is held for 200 ms
4. BCM_FD_14.Command_07Sts = 0 (NOT_PSD) after release
5. $StWhl_VoiceRecognition$ = 1 observed at HU VHAL during step 2 to 3
6. Siri overlay is visible at the bottom of CarPlay UI, Siri prompt tone is audible, no call screen appears</t>
    <phoneticPr fontId="3" type="noConversion"/>
  </si>
  <si>
    <r>
      <t xml:space="preserve">HW supplier shall notify the Voice Recognition command via the VHAL interface.
CarPropertyService receives the Voice Recognition command and forwards it to ExternalInputKeyService .
ExternalInputKeyService shall receive and converts VHAL commands into keyevents and forwards them to Bluetooth HFP.
CarPlay / Android Auto services shall subscribe the Voice Recognition command and  take necessary action to enable/disable VR
</t>
    </r>
    <r>
      <rPr>
        <b/>
        <sz val="10"/>
        <color theme="1"/>
        <rFont val="Times New Roman"/>
        <family val="1"/>
      </rPr>
      <t>(Google Assistant activates on Android Auto via VR button when no call is active)</t>
    </r>
    <phoneticPr fontId="3" type="noConversion"/>
  </si>
  <si>
    <t>1. Read Android Auto UI for Assistant overlay and call-screen presence and record as State_initial
2. Send CAN: BCM_FD_14.Command_07Sts = 1 (PSD)
3. Hold for 200 ms
4. Send CAN: BCM_FD_14.Command_07Sts = 0 (NOT_PSD)
5. Read VHAL property $StWhl_VoiceRecognition$ during step 2 to 3
6. Read Android Auto UI within 1 second after step 4 for Assistant overlay and listen for Assistant prompt tone</t>
    <phoneticPr fontId="3" type="noConversion"/>
  </si>
  <si>
    <t>1. State_initial = no Assistant overlay, no call screen
2. BCM_FD_14.Command_07Sts = 1 (PSD) during press window
3. Signal is held for 200 ms
4. BCM_FD_14.Command_07Sts = 0 (NOT_PSD) after release
5. $StWhl_VoiceRecognition$ = 1 observed at HU VHAL during step 2 to 3
6. Google Assistant overlay (colored dots animation) is visible, Assistant prompt tone is audible, no call screen appears</t>
    <phoneticPr fontId="3" type="noConversion"/>
  </si>
  <si>
    <t>CFTS042-4813008
Infotainment_and_Telematics_Steering_Wheel_Controls_Management_VF465_V3_R2</t>
    <phoneticPr fontId="3" type="noConversion"/>
  </si>
  <si>
    <t>P0</t>
  </si>
  <si>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CarPlay / Android Auto services shall subscribe the Voice Recognition command and activates Siri
</t>
    </r>
    <r>
      <rPr>
        <b/>
        <sz val="10"/>
        <color theme="1"/>
        <rFont val="Times New Roman"/>
        <family val="1"/>
      </rPr>
      <t>(Siri activates on CarPlay via VR button during active HFP call)</t>
    </r>
    <phoneticPr fontId="3" type="noConversion"/>
  </si>
  <si>
    <t>1. Read CarPlay UI to confirm in-call screen is shown and two-way audio is ongoing, record Call_state_initial = Active
2. Send CAN: BCM_FD_14.Command_07Sts = 1 (PSD)
3. Hold for 200 ms
4. Send CAN: BCM_FD_14.Command_07Sts = 0 (NOT_PSD)
5. Read VHAL property $StWhl_VoiceRecognition$ during step 2 to 3
6. Read CarPlay UI within 1 second after step 4 for Siri overlay and call state</t>
    <phoneticPr fontId="3" type="noConversion"/>
  </si>
  <si>
    <t>1. Call_state_initial = Active, two-way audio established
2. BCM_FD_14.Command_07Sts = 1 (PSD) during press window
3. Signal is held for 200 ms
4. BCM_FD_14.Command_07Sts = 0 (NOT_PSD) after release
5. $StWhl_VoiceRecognition$ = 1 observed at HU VHAL during step 2 to 3
6. Siri overlay appears over the in-call screen, call remains Active, call audio may be momentarily muted while Siri is listening</t>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</si>
  <si>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CarPlay / Android Auto services shall subscribe the Voice Recognition command and activates Siri
</t>
    </r>
    <r>
      <rPr>
        <b/>
        <sz val="10"/>
        <color theme="1"/>
        <rFont val="Times New Roman"/>
        <family val="1"/>
      </rPr>
      <t>(Google Assistant activates on Android Auto via VR button during active HFP call)</t>
    </r>
    <phoneticPr fontId="3" type="noConversion"/>
  </si>
  <si>
    <t>1. Read Android Auto UI to confirm in-call screen is shown and two-way audio is ongoing, record Call_state_initial = Active
2. Send CAN: BCM_FD_14.Command_07Sts = 1 (PSD)
3. Hold for 200 ms
4. Send CAN: BCM_FD_14.Command_07Sts = 0 (NOT_PSD)
5. Read VHAL property $StWhl_VoiceRecognition$ during step 2 to 3
6. Read Android Auto UI within 1 second after step 4 for Assistant overlay and call state</t>
    <phoneticPr fontId="3" type="noConversion"/>
  </si>
  <si>
    <t>1. Call_state_initial = Active
2. BCM_FD_14.Command_07Sts = 1 (PSD) during press window
3. Signal is held for 200 ms
4. BCM_FD_14.Command_07Sts = 0 (NOT_PSD) after release
5. $StWhl_VoiceRecognition$ = 1 observed at HU VHAL during step 2 to 3
6. Assistant overlay appears over the in-call screen, call remains Active, call audio may be momentarily muted</t>
    <phoneticPr fontId="3" type="noConversion"/>
  </si>
  <si>
    <t>CFTS042-4813007
Infotainment_and_Telematics_Steering_Wheel_Controls_Management_VF465_V3_R2
Steering_Wheel_Controls_HMI_Logic_and_Flow_SR24_DCR21423_august_3_2022-While in Voice Session or Phone Call</t>
    <phoneticPr fontId="3" type="noConversion"/>
  </si>
  <si>
    <t>NEW</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</si>
  <si>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theme="1"/>
        <rFont val="Times New Roman"/>
        <family val="1"/>
      </rPr>
      <t>(Incoming call answered on CarPlay via Phone Answer button)</t>
    </r>
    <phoneticPr fontId="3" type="noConversion"/>
  </si>
  <si>
    <t>1. Read CarPlay UI for incoming-call screen and listen for ringing tone, record Call_state_initial = Incoming
2. Send CAN: BCM_FD_14.Command_07Sts = 1 (PSD)
3. Hold for 200 ms
4. Send CAN: BCM_FD_14.Command_07Sts = 0 (NOT_PSD)
5. Read VHAL property $StWhl_PhoneAnswer+VR$ during step 2 to 3
6. Read CarPlay UI within 2 seconds after step 4 for in-call screen and listen for two-way audio</t>
    <phoneticPr fontId="3" type="noConversion"/>
  </si>
  <si>
    <t>1. Call_state_initial = Incoming, ringing tone audible
2. BCM_FD_14.Command_07Sts = 1 (PSD) during press window
3. Signal is held for 200 ms
4. BCM_FD_14.Command_07Sts = 0 (NOT_PSD) after release
5. $StWhl_PhoneAnswer+VR$ = 1 observed at HU VHAL during step 2 to 3
6. CarPlay UI transitions to in-call screen, ringing tone stops, two-way call audio is established between phone microphone and vehicle speakers</t>
    <phoneticPr fontId="3" type="noConversion"/>
  </si>
  <si>
    <t>CFTS042-4813024
Infotainment_and_Telematics_Steering_Wheel_Controls_Management_VF465_V3_R2
Steering_Wheel_Controls_HMI_Logic_and_Flow_SR24_DCR21423_august_3_2022-While in Voice Session or Phone Call</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</si>
  <si>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theme="1"/>
        <rFont val="Times New Roman"/>
        <family val="1"/>
      </rPr>
      <t>(Incoming call answered on Android Auto via Phone Answer button)</t>
    </r>
    <phoneticPr fontId="3" type="noConversion"/>
  </si>
  <si>
    <t>1. Read Android Auto UI for incoming-call screen and listen for ringing tone, record Call_state_initial = Incoming
2. Send CAN: BCM_FD_14.Command_07Sts = 1 (PSD)
3. Hold for 200 ms
4. Send CAN: BCM_FD_14.Command_07Sts = 0 (NOT_PSD)
5. Read VHAL property $StWhl_PhoneAnswer+VR$ during step 2 to 3
6. Read Android Auto UI within 2 seconds after step 4 for in-call screen and listen for two-way audio</t>
    <phoneticPr fontId="3" type="noConversion"/>
  </si>
  <si>
    <t>1. Call_state_initial = Incoming, ringing tone audible
2. BCM_FD_14.Command_07Sts = 1 (PSD) during press window
3. Signal is held for 200 ms
4. BCM_FD_14.Command_07Sts = 0 (NOT_PSD) after release
5. $StWhl_PhoneAnswer+VR$ = 1 observed at HU VHAL during step 2 to 3
6. Android Auto UI transitions to in-call screen, ringing tone stops, two-way call audio is established</t>
    <phoneticPr fontId="3" type="noConversion"/>
  </si>
  <si>
    <t>Call Handling</t>
    <phoneticPr fontId="3" type="noConversion"/>
  </si>
  <si>
    <t>Voice Recognition</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</si>
  <si>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theme="1"/>
        <rFont val="Times New Roman"/>
        <family val="1"/>
      </rPr>
      <t>(Active CarPlay call preserved when Phone Answer pressed during active call)</t>
    </r>
    <phoneticPr fontId="3" type="noConversion"/>
  </si>
  <si>
    <t>1. Read CarPlay UI for in-call screen and confirm two-way audio, record Call_state_initial = Active
2. Send CAN: BCM_FD_14.Command_07Sts = 1 (PSD)
3. Hold for 200 ms
4. Send CAN: BCM_FD_14.Command_07Sts = 0 (NOT_PSD)
5. Read VHAL property $StWhl_PhoneAnswer+VR$ during step 2 to 3
6. Read CarPlay UI within 2 seconds after step 4 for call state and any projection-defined visual change, record any change as Observed_response</t>
    <phoneticPr fontId="3" type="noConversion"/>
  </si>
  <si>
    <t>1. Call_state_initial = Active, two-way audio ongoing
2. BCM_FD_14.Command_07Sts = 1 (PSD) during press window
3. Signal is held for 200 ms
4. BCM_FD_14.Command_07Sts = 0 (NOT_PSD) after release
5. $StWhl_PhoneAnswer+VR$ = 1 observed at HU VHAL during step 2 to 3
6. The active call remains in Active state, two-way call audio is preserved, Observed_response is recorded for documentation</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</si>
  <si>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theme="1"/>
        <rFont val="Times New Roman"/>
        <family val="1"/>
      </rPr>
      <t>(Active Android Auto call preserved when Phone Answer pressed during active call)</t>
    </r>
    <phoneticPr fontId="3" type="noConversion"/>
  </si>
  <si>
    <t>1. Read Android Auto UI for in-call screen and confirm two-way audio, record Call_state_initial = Active
2. Send CAN: BCM_FD_14.Command_07Sts = 1 (PSD)
3. Hold for 200 ms
4. Send CAN: BCM_FD_14.Command_07Sts = 0 (NOT_PSD)
5. Read VHAL property $StWhl_PhoneAnswer+VR$ during step 2 to 3
6. Read Android Auto UI within 2 seconds after step 4 for call state, record any change as Observed_response</t>
    <phoneticPr fontId="3" type="noConversion"/>
  </si>
  <si>
    <t>1. Call_state_initial = Active, two-way audio ongoing
2. BCM_FD_14.Command_07Sts = 1 (PSD) during press window
3. Signal is held for 200 ms
4. BCM_FD_14.Command_07Sts = 0 (NOT_PSD) after release
5. $StWhl_PhoneAnswer+VR$ = 1 observed at HU VHAL during step 2 to 3
6. The active call remains Active, two-way audio preserved, Observed_response recorded for documentation</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</si>
  <si>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theme="1"/>
        <rFont val="Times New Roman"/>
        <family val="1"/>
      </rPr>
      <t>(Active CarPlay call terminated by Phone HangUp button press)</t>
    </r>
    <phoneticPr fontId="3" type="noConversion"/>
  </si>
  <si>
    <t>1. Read CarPlay UI for in-call screen and confirm two-way audio, record Call_state_initial = Active and Previous_audio_source
2. Send CAN: BCM_FD_14.Command_08Sts = 1 (PSD)
3. Hold for 200 ms
4. Send CAN: BCM_FD_14.Command_08Sts = 0 (NOT_PSD)
5. Read VHAL property $StWhl_PhoneHangup$ during step 2 to 3
6. Read CarPlay UI within 2 seconds after step 4 for call-ended state and audio routing</t>
    <phoneticPr fontId="3" type="noConversion"/>
  </si>
  <si>
    <t>1. Call_state_initial = Active, Previous_audio_source captured (e.g., Apple Music)
2. BCM_FD_14.Command_08Sts = 1 (PSD) during press window
3. Signal is held for 200 ms
4. BCM_FD_14.Command_08Sts = 0 (NOT_PSD) after release
5. $StWhl_PhoneHangup$ = 1 observed at HU VHAL during step 2 to 3
6. CarPlay UI transitions to call-ended state, two-way call audio stops, audio routing returns to Previous_audio_source</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</si>
  <si>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theme="1"/>
        <rFont val="Times New Roman"/>
        <family val="1"/>
      </rPr>
      <t>(Active Android Auto call terminated by Phone HangUp button press)</t>
    </r>
    <phoneticPr fontId="3" type="noConversion"/>
  </si>
  <si>
    <t>1. Read Android Auto UI for in-call screen and confirm two-way audio, record Call_state_initial = Active and Previous_audio_source
2. Send CAN: BCM_FD_14.Command_08Sts = 1 (PSD)
3. Hold for 200 ms
4. Send CAN: BCM_FD_14.Command_08Sts = 0 (NOT_PSD)
5. Read VHAL property $StWhl_PhoneHangup$ during step 2 to 3
6. Read Android Auto UI within 2 seconds after step 4 for call-ended state and audio routing</t>
    <phoneticPr fontId="3" type="noConversion"/>
  </si>
  <si>
    <t>1. Call_state_initial = Active, Previous_audio_source captured
2. BCM_FD_14.Command_08Sts = 1 (PSD) during press window
3. Signal is held for 200 ms
4. BCM_FD_14.Command_08Sts = 0 (NOT_PSD) after release
5. $StWhl_PhoneHangup$ = 1 observed at HU VHAL during step 2 to 3
6. Android Auto UI transitions to call-ended state, two-way audio stops, audio routing returns to Previous_audio_source</t>
    <phoneticPr fontId="3" type="noConversion"/>
  </si>
  <si>
    <r>
      <t xml:space="preserve">HW supplier shall notify Phone Answer+VR or Hangup pressed via VHAL.                                                                                                                                                                                                                                                                                                                                                                                        CarPropertyService forwards to ExternalInputKeyService.                                                                                                                                                                                                                                                                                                                                                                                                                                        If Phone Answer or Phone Hang up event is routed to Bluetooth HFP  during active call, Carplay or android auto shall receive and take necessary action, Else VR is routed to Bluetooth HFP if VR button is pressed and activates Siri
</t>
    </r>
    <r>
      <rPr>
        <b/>
        <sz val="10"/>
        <color theme="1"/>
        <rFont val="Times New Roman"/>
        <family val="1"/>
      </rPr>
      <t>(Siri activates on CarPlay via Phone Answer button when no call is active)</t>
    </r>
    <phoneticPr fontId="3" type="noConversion"/>
  </si>
  <si>
    <t>1. Read CarPlay UI for call screen, dialer, and Siri overlay presence, record Call_state = None and State_initial
2. Send CAN: BCM_FD_14.Command_07Sts = 1 (PSD)
3. Hold for 200 ms
4. Send CAN: BCM_FD_14.Command_07Sts = 0 (NOT_PSD)
5. Read VHAL property $StWhl_PhoneAnswer+VR$ during step 2 to 3
6. Read CarPlay UI within 1 second after step 4 for Siri overlay and confirm absence of call screen</t>
    <phoneticPr fontId="3" type="noConversion"/>
  </si>
  <si>
    <t>1. Call_state = None, State_initial: no Siri overlay, no call screen
2. BCM_FD_14.Command_07Sts = 1 (PSD) during press window
3. Signal is held for 200 ms
4. BCM_FD_14.Command_07Sts = 0 (NOT_PSD) after release
5. $StWhl_PhoneAnswer+VR$ = 1 observed at HU VHAL during step 2 to 3
6. CarPlay Siri overlay is visible, Siri prompt tone is audible, no incoming-call or outgoing-call UI appears</t>
    <phoneticPr fontId="3" type="noConversion"/>
  </si>
  <si>
    <r>
      <t xml:space="preserve">HW supplier shall notify Phone Answer+VR or Hangup pressed via VHAL.                                                                                                                                                                                                                                                                                                                                                                                        CarPropertyService forwards to ExternalInputKeyService.                                                                                                                                                                                                                                                                                                                                                                                                                                        If Phone Answer or Phone Hang up event is routed to Bluetooth HFP  during active call, Carplay or android auto shall receive and take necessary action, Else VR is routed to Bluetooth HFP if VR button is pressed and activates Siri
</t>
    </r>
    <r>
      <rPr>
        <b/>
        <sz val="10"/>
        <color theme="1"/>
        <rFont val="Times New Roman"/>
        <family val="1"/>
      </rPr>
      <t>(Google Assistant activates on Android Auto via Phone Answer button when no call is active)</t>
    </r>
    <phoneticPr fontId="3" type="noConversion"/>
  </si>
  <si>
    <t>1. Read Android Auto UI for call screen, dialer, and Assistant overlay presence, record Call_state = None and State_initial
2. Send CAN: BCM_FD_14.Command_07Sts = 1 (PSD)
3. Hold for 200 ms
4. Send CAN: BCM_FD_14.Command_07Sts = 0 (NOT_PSD)
5. Read VHAL property $StWhl_PhoneAnswer+VR$ during step 2 to 3
6. Read Android Auto UI within 1 second after step 4 for Assistant overlay and confirm absence of call screen</t>
    <phoneticPr fontId="3" type="noConversion"/>
  </si>
  <si>
    <t>1. Call_state = None, State_initial: no Assistant overlay, no call screen
2. BCM_FD_14.Command_07Sts = 1 (PSD) during press window
3. Signal is held for 200 ms
4. BCM_FD_14.Command_07Sts = 0 (NOT_PSD) after release
5. $StWhl_PhoneAnswer+VR$ = 1 observed at HU VHAL during step 2 to 3
6. Google Assistant overlay is visible, Assistant prompt tone is audible, no call UI appears</t>
    <phoneticPr fontId="3" type="noConversion"/>
  </si>
  <si>
    <t>CFTS042-4813023
Infotainment_and_Telematics_Steering_Wheel_Controls_Management_VF465_V3_R2
Steering_Wheel_Controls_HMI_Logic_and_Flow_SR24_DCR21423_august_3_2022-While in Voice Session or Phone Call</t>
    <phoneticPr fontId="3" type="noConversion"/>
  </si>
  <si>
    <r>
      <t xml:space="preserve">HW supplier shall notify the Voice Recognition command via the VHAL interface.
CarPropertyService receives the Voice Recognition command and forwards it to ExternalInputKeyService .
ExternalInputKeyService receive and converts VHAL commands into keyevents and forwards them to Bluetooth HFP.
CarPlay / Android Auto services shall subscribe the Voice Recognition command and  take necessary action to enable/disable VR
</t>
    </r>
    <r>
      <rPr>
        <b/>
        <sz val="10"/>
        <color theme="1"/>
        <rFont val="Times New Roman"/>
        <family val="1"/>
      </rPr>
      <t>(Siri activates on CarPlay via VR button when no call is active (variant))</t>
    </r>
    <phoneticPr fontId="3" type="noConversion"/>
  </si>
  <si>
    <t>1. Read CarPlay UI for Siri overlay and call-screen presence, record State_initial = Idle
2. Send CAN: BCM_FD_14.Command_07Sts = 1 (PSD)
3. Hold for 200 ms
4. Send CAN: BCM_FD_14.Command_07Sts = 0 (NOT_PSD)
5. Read VHAL property $StWhl_VoiceRecognition$ during step 2 to 3
6. Read CarPlay UI within 1 second after step 4 for Siri overlay and listen for Siri prompt tone</t>
    <phoneticPr fontId="3" type="noConversion"/>
  </si>
  <si>
    <t>1. State_initial = Idle (no Siri overlay, no call screen)
2. BCM_FD_14.Command_07Sts = 1 (PSD) during press window
3. Signal is held for 200 ms
4. BCM_FD_14.Command_07Sts = 0 (NOT_PSD) after release
5. $StWhl_VoiceRecognition$ = 1 observed at HU VHAL during step 2 to 3
6. CarPlay Siri overlay is visible, Siri prompt tone is audible, no call screen appears</t>
    <phoneticPr fontId="3" type="noConversion"/>
  </si>
  <si>
    <t>CFTS042-4813376
Infotainment_and_Telematics_Steering_Wheel_Controls_Management_VF465_V3_R2</t>
    <phoneticPr fontId="3" type="noConversion"/>
  </si>
  <si>
    <r>
      <t xml:space="preserve">HW supplier shall notify the Voice Recognition command via the VHAL interface.
CarPropertyService receives the Voice Recognition command and forwards it to ExternalInputKeyService .
ExternalInputKeyService receive and converts VHAL commands into keyevents and forwards them to Bluetooth HFP.
CarPlay / Android Auto services shall subscribe the Voice Recognition command and  take necessary action to enable/disable VR
</t>
    </r>
    <r>
      <rPr>
        <b/>
        <sz val="10"/>
        <color theme="1"/>
        <rFont val="Times New Roman"/>
        <family val="1"/>
      </rPr>
      <t>(Google Assistant activates on Android Auto via VR button when no call is active (variant))</t>
    </r>
    <phoneticPr fontId="3" type="noConversion"/>
  </si>
  <si>
    <t>1. Read Android Auto UI for Assistant overlay and call-screen presence, record State_initial = Idle
2. Send CAN: BCM_FD_14.Command_07Sts = 1 (PSD)
3. Hold for 200 ms
4. Send CAN: BCM_FD_14.Command_07Sts = 0 (NOT_PSD)
5. Read VHAL property $StWhl_VoiceRecognition$ during step 2 to 3
6. Read Android Auto UI within 1 second after step 4 for Assistant overlay and listen for prompt tone</t>
    <phoneticPr fontId="3" type="noConversion"/>
  </si>
  <si>
    <t>1. State_initial = Idle
2. BCM_FD_14.Command_07Sts = 1 (PSD) during press window
3. Signal is held for 200 ms
4. BCM_FD_14.Command_07Sts = 0 (NOT_PSD) after release
5. $StWhl_VoiceRecognition$ = 1 observed at HU VHAL during step 2 to 3
6. Android Auto Assistant overlay is visible, Assistant prompt tone is audible, no call screen appears</t>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</si>
  <si>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When $StWhl_VoiceRecognition$ = [Pressed] is received by the HU and an HFP is in progress, the HU shall invoke the associated button press behavior.
CarPlay / Android Auto services shall subscribe the Voice Recognition command and activates Siri
</t>
    </r>
    <r>
      <rPr>
        <b/>
        <sz val="10"/>
        <color theme="1"/>
        <rFont val="Times New Roman"/>
        <family val="1"/>
      </rPr>
      <t>(Siri activates on CarPlay via VR button during active HFP call (variant))</t>
    </r>
    <phoneticPr fontId="3" type="noConversion"/>
  </si>
  <si>
    <t>1. Read CarPlay UI to confirm in-call screen and two-way audio, record Call_state_initial = Active
2. Send CAN: BCM_FD_14.Command_07Sts = 1 (PSD)
3. Hold for 200 ms
4. Send CAN: BCM_FD_14.Command_07Sts = 0 (NOT_PSD)
5. Read VHAL property $StWhl_VoiceRecognition$ during step 2 to 3
6. Read CarPlay UI within 1 second after step 4 for Siri overlay and call state</t>
    <phoneticPr fontId="3" type="noConversion"/>
  </si>
  <si>
    <t>1. Call_state_initial = Active
2. BCM_FD_14.Command_07Sts = 1 (PSD) during press window
3. Signal is held for 200 ms
4. BCM_FD_14.Command_07Sts = 0 (NOT_PSD) after release
5. $StWhl_VoiceRecognition$ = 1 observed at HU VHAL during step 2 to 3
6. CarPlay Siri overlay appears over the in-call screen, call remains Active, call audio may be momentarily muted</t>
    <phoneticPr fontId="3" type="noConversion"/>
  </si>
  <si>
    <t>CFTS042-4813375
Infotainment_and_Telematics_Steering_Wheel_Controls_Management_VF465_V3_R2
Steering_Wheel_Controls_HMI_Logic_and_Flow_SR24_DCR21423_august_3_2022-While in Voice Session or Phone Call</t>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</si>
  <si>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When $StWhl_VoiceRecognition$ = [Pressed] is received by the HU and an HFP is in progress, the HU shall invoke the associated button press behavior.
CarPlay / Android Auto services shall subscribe the Voice Recognition command and activates Siri
</t>
    </r>
    <r>
      <rPr>
        <b/>
        <sz val="10"/>
        <color theme="1"/>
        <rFont val="Times New Roman"/>
        <family val="1"/>
      </rPr>
      <t>(Google Assistant activates on Android Auto via VR button during active HFP call (variant))</t>
    </r>
    <phoneticPr fontId="3" type="noConversion"/>
  </si>
  <si>
    <t>1. Read Android Auto UI to confirm in-call screen and two-way audio, record Call_state_initial = Active
2. Send CAN: BCM_FD_14.Command_07Sts = 1 (PSD)
3. Hold for 200 ms
4. Send CAN: BCM_FD_14.Command_07Sts = 0 (NOT_PSD)
5. Read VHAL property $StWhl_VoiceRecognition$ during step 2 to 3
6. Read Android Auto UI within 1 second after step 4 for Assistant overlay and call state</t>
    <phoneticPr fontId="3" type="noConversion"/>
  </si>
  <si>
    <t>1. Call_state_initial = Active
2. BCM_FD_14.Command_07Sts = 1 (PSD) during press window
3. Signal is held for 200 ms
4. BCM_FD_14.Command_07Sts = 0 (NOT_PSD) after release
5. $StWhl_VoiceRecognition$ = 1 observed at HU VHAL during step 2 to 3
6. Android Auto Assistant overlay appears over the in-call screen, call remains Active, call audio may be momentarily muted</t>
    <phoneticPr fontId="3" type="noConversion"/>
  </si>
  <si>
    <t>Preset Advance</t>
    <phoneticPr fontId="3" type="noConversion"/>
  </si>
  <si>
    <t>1. Ignition state = ON and HU is in Full-Operation state
2. Target platform: EE Architecture = Atl-Hi
3. PROXI RRM_VPx_Steering_Wheel_Command_Type = 14_LIN_button_NAFTA
4. HMI: AUX3 is selected for the left-middle button
5. An Android Auto-supported phone is paired with the HU
6. Android Auto media source is active and audible
7. CAN tool is available on HU</t>
    <phoneticPr fontId="3" type="noConversion"/>
  </si>
  <si>
    <t>1. Ignition state = ON and HU is in Full-Operation state
2. Target platform: EE Architecture = Atl-Hi
3. PROXI RRM_VPx_Steering_Wheel_Command_Type = 14_LIN_button_NAFTA (PROXI-independent)
4. No Bluetooth HFP session is in progress
5. An Android Auto-supported phone is paired with the HU
6. Google Assistant is enabled in Android Auto settings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</si>
  <si>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HFP call via Android Auto is in active state with two-way audio established
6. Google Assistant is enabled in Android Auto settings
7.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</si>
  <si>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incoming HFP call via CarPlay is ringing on the phone with ringing tone audible
6. The call has not been answered
7.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</si>
  <si>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HFP call via CarPlay is in active state with two-way audio established
6. Siri is enabled in CarPlay settings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</si>
  <si>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incoming HFP call via Android Auto is ringing on the phone with ringing tone audible
6. The call has not been answered
7.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</si>
  <si>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HFP call via CarPlay is in active state (already answered, two-way audio established)
6. No second incoming call is pending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</si>
  <si>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HFP call via Android Auto is in active state (already answered, two-way audio established)
6. No second incoming call is pending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</si>
  <si>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HFP call via Android Auto is in active state with two-way audio established
6.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</si>
  <si>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HFP call via CarPlay is in active state with two-way audio established
6. CAN tool is available on HU</t>
    <phoneticPr fontId="3" type="noConversion"/>
  </si>
  <si>
    <t>1. Ignition state = ON and HU is in Full-Operation state
2. Target platform: EE Architecture = Atl-Hi
3. PROXI RRM_VPx_Steering_Wheel_Command_Type = 14_LIN_button_NAFTA (PROXI-independent)
4. No Bluetooth HFP session is in progress
5. An Apple CarPlay-supported phone is paired with the HU
6. Siri is enabled in CarPlay settings
7. CAN tool is available on HU</t>
    <phoneticPr fontId="3" type="noConversion"/>
  </si>
  <si>
    <t>1. Ignition state = ON and HU is in Full-Operation state
2. Target platform: EE Architecture = Atl-Hi
3. PROXI RRM_VPx_Steering_Wheel_Command_Type = 14_LIN_button_NAFTA (PROXI-independent)
4. No HFP session is in progress
5. An Android Auto-supported phone is paired with the HU
6. Google Assistant is enabled in Android Auto settings
7. CAN tool is available on HU</t>
    <phoneticPr fontId="3" type="noConversion"/>
  </si>
  <si>
    <t>1. Ignition state = ON and HU is in Full-Operation state
2. Target platform: EE Architecture = Atl-Mid
3. PROXI RRM_VPx_Steering_Wheel_Command_Type = 14_LIN_button_NAFTA (PROXI-independent)
4. No Bluetooth HFP session is in progress
5. An Apple CarPlay-supported phone is paired with the HU
6. Siri is enabled in CarPlay settings
7. CAN tool is available on HU</t>
    <phoneticPr fontId="3" type="noConversion"/>
  </si>
  <si>
    <t>1. Ignition state = ON and HU is in Full-Operation state
2. Target platform: EE Architecture = Atl-Mid
3. PROXI RRM_VPx_Steering_Wheel_Command_Type = 14_LIN_button_NAFTA (PROXI-independent)
4. No HFP session is in progress
5. An Android Auto-supported phone is paired with the HU
6. Google Assistant is enabled
7. CAN tool is available on HU</t>
    <phoneticPr fontId="3" type="noConversion"/>
  </si>
  <si>
    <t>1. Ignition state = ON and HU is in Full-Operation state
2. Target platform: EE Architecture = Atl-Mid
3. PROXI RRM_VPx_Steering_Wheel_Command_Type = 14_LIN_button_NAFTA (PROXI-independent)
4. An Apple CarPlay-supported phone is paired with the HU
5. An HFP call via CarPlay is in active state with two-way audio established
6. Siri is enabled in CarPlay settings
7. CAN tool is available on HU</t>
    <phoneticPr fontId="3" type="noConversion"/>
  </si>
  <si>
    <t>1. Ignition state = ON and HU is in Full-Operation state
2. Target platform: EE Architecture = Atl-Mid
3. PROXI RRM_VPx_Steering_Wheel_Command_Type = 14_LIN_button_NAFTA (PROXI-independent)
4. An Android Auto-supported phone is paired with the HU
5. An HFP call via Android Auto is in active state with two-way audio established
6. Google Assistant is enabled
7. CAN tool is available on HU</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</si>
</sst>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Red]\(0.0\)"/>
    <numFmt numFmtId="177" formatCode="yyyy/mm/dd"/>
    <numFmt numFmtId="178" formatCode="0.00_);[Red]\(0.00\)"/>
    <numFmt numFmtId="179" formatCode="m&quot;月&quot;d&quot;日&quot;"/>
    <numFmt numFmtId="180" formatCode="0.0"/>
  </numFmts>
  <fonts count="50">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b/>
      <sz val="12"/>
      <color theme="1"/>
      <name val="Times New Roman"/>
      <family val="1"/>
      <charset val="136"/>
    </font>
    <font>
      <sz val="14"/>
      <color theme="1"/>
      <name val="Times New Roman"/>
      <family val="1"/>
    </font>
    <font>
      <sz val="11"/>
      <color theme="1"/>
      <name val="細明體"/>
      <family val="1"/>
      <charset val="136"/>
    </font>
    <font>
      <sz val="12"/>
      <color rgb="FF000000"/>
      <name val="新細明體"/>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sz val="10"/>
      <name val="新細明體"/>
      <family val="1"/>
      <charset val="136"/>
    </font>
    <font>
      <b/>
      <sz val="10"/>
      <color theme="1"/>
      <name val="Times New Roman"/>
      <family val="1"/>
    </font>
    <font>
      <b/>
      <sz val="10"/>
      <color rgb="FFFF0000"/>
      <name val="Times New Roman"/>
      <family val="1"/>
    </font>
    <font>
      <u/>
      <sz val="10"/>
      <color rgb="FF0563C1"/>
      <name val="Times New Roman"/>
      <family val="1"/>
    </font>
    <font>
      <sz val="10"/>
      <color rgb="FF000000"/>
      <name val="Times New Roman"/>
      <family val="1"/>
    </font>
    <font>
      <sz val="10"/>
      <color theme="1"/>
      <name val="PMingLiU"/>
      <family val="1"/>
      <charset val="136"/>
    </font>
    <font>
      <b/>
      <sz val="10"/>
      <name val="Times New Roman"/>
      <family val="1"/>
    </font>
    <font>
      <sz val="10"/>
      <color theme="1"/>
      <name val="Times New Roman"/>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left>
      <right style="thin">
        <color theme="1"/>
      </right>
      <top style="thin">
        <color theme="1"/>
      </top>
      <bottom style="thin">
        <color theme="1"/>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cellStyleXfs>
  <cellXfs count="175">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29" fillId="0" borderId="0" xfId="18" applyFont="1">
      <alignment vertical="center"/>
    </xf>
    <xf numFmtId="0" fontId="25" fillId="0" borderId="38" xfId="12" applyFont="1" applyBorder="1"/>
    <xf numFmtId="0" fontId="25" fillId="0" borderId="38" xfId="12" applyFont="1" applyBorder="1" applyAlignment="1">
      <alignment horizontal="right"/>
    </xf>
    <xf numFmtId="0" fontId="34" fillId="0" borderId="0" xfId="12" applyFont="1" applyAlignment="1">
      <alignment horizontal="center" vertical="center" wrapText="1"/>
    </xf>
    <xf numFmtId="0" fontId="29" fillId="0" borderId="2" xfId="18" applyFont="1" applyBorder="1" applyAlignment="1">
      <alignment horizontal="center" vertical="center" wrapText="1"/>
    </xf>
    <xf numFmtId="0" fontId="29" fillId="0" borderId="0" xfId="18" applyFont="1" applyAlignment="1">
      <alignment horizontal="center" vertical="center"/>
    </xf>
    <xf numFmtId="0" fontId="29" fillId="0" borderId="39" xfId="18" applyFont="1" applyBorder="1" applyAlignment="1">
      <alignment horizontal="center" vertical="center" wrapText="1"/>
    </xf>
    <xf numFmtId="0" fontId="29" fillId="0" borderId="40" xfId="18" applyFont="1" applyBorder="1" applyAlignment="1">
      <alignment horizontal="center" vertical="center" wrapText="1"/>
    </xf>
    <xf numFmtId="0" fontId="29" fillId="0" borderId="40" xfId="18" applyFont="1" applyBorder="1">
      <alignment vertical="center"/>
    </xf>
    <xf numFmtId="0" fontId="29" fillId="0" borderId="40" xfId="18" applyFont="1" applyBorder="1" applyAlignment="1">
      <alignment horizontal="center" vertical="center"/>
    </xf>
    <xf numFmtId="0" fontId="29" fillId="0" borderId="1" xfId="18" applyFont="1" applyBorder="1" applyAlignment="1">
      <alignment horizontal="center" vertical="center" wrapText="1"/>
    </xf>
    <xf numFmtId="0" fontId="26" fillId="0" borderId="2" xfId="14" applyFont="1" applyBorder="1" applyAlignment="1">
      <alignment horizontal="left" vertical="top" wrapText="1"/>
    </xf>
    <xf numFmtId="178" fontId="25" fillId="0" borderId="42" xfId="19" applyNumberFormat="1" applyFont="1" applyBorder="1" applyAlignment="1">
      <alignment horizontal="center" vertical="center" wrapText="1"/>
    </xf>
    <xf numFmtId="0" fontId="35" fillId="0" borderId="42" xfId="19" applyFont="1" applyBorder="1" applyAlignment="1">
      <alignment horizontal="center" vertical="center" wrapText="1"/>
    </xf>
    <xf numFmtId="0" fontId="29" fillId="0" borderId="42" xfId="19" applyFont="1" applyBorder="1" applyAlignment="1">
      <alignment horizontal="center" vertical="center" wrapText="1"/>
    </xf>
    <xf numFmtId="179" fontId="29" fillId="0" borderId="42" xfId="19" applyNumberFormat="1" applyFont="1" applyBorder="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left" vertical="center"/>
    </xf>
    <xf numFmtId="0" fontId="37" fillId="0" borderId="0" xfId="0" applyFont="1" applyAlignment="1">
      <alignment vertical="center"/>
    </xf>
    <xf numFmtId="0" fontId="38" fillId="0" borderId="0" xfId="0" applyFont="1" applyAlignment="1">
      <alignment horizontal="right" vertical="center" wrapText="1"/>
    </xf>
    <xf numFmtId="0" fontId="38" fillId="0" borderId="0" xfId="0" applyFont="1" applyAlignment="1">
      <alignment horizontal="left" vertical="center" wrapText="1"/>
    </xf>
    <xf numFmtId="0" fontId="38" fillId="0" borderId="0" xfId="0" applyFont="1" applyAlignment="1">
      <alignment vertical="center" wrapText="1"/>
    </xf>
    <xf numFmtId="0" fontId="38" fillId="0" borderId="0" xfId="0" applyFont="1" applyAlignment="1">
      <alignment horizontal="center" vertical="center" wrapText="1"/>
    </xf>
    <xf numFmtId="49" fontId="39" fillId="0" borderId="0" xfId="0" applyNumberFormat="1" applyFont="1" applyAlignment="1">
      <alignment horizontal="left" vertical="center" wrapText="1"/>
    </xf>
    <xf numFmtId="49" fontId="39" fillId="0" borderId="0" xfId="0" applyNumberFormat="1" applyFont="1" applyAlignment="1">
      <alignment vertical="center" wrapText="1"/>
    </xf>
    <xf numFmtId="0" fontId="39" fillId="0" borderId="0" xfId="0" applyFont="1" applyAlignment="1">
      <alignment vertical="center" wrapText="1"/>
    </xf>
    <xf numFmtId="0" fontId="40" fillId="0" borderId="0" xfId="0" applyFont="1" applyAlignment="1">
      <alignment horizontal="right" vertical="center" wrapText="1"/>
    </xf>
    <xf numFmtId="0" fontId="40" fillId="0" borderId="0" xfId="0" applyFont="1" applyAlignment="1">
      <alignment horizontal="left" vertical="center" wrapText="1"/>
    </xf>
    <xf numFmtId="49" fontId="38" fillId="0" borderId="0" xfId="0" applyNumberFormat="1" applyFont="1" applyAlignment="1">
      <alignment horizontal="left" vertical="center" wrapText="1"/>
    </xf>
    <xf numFmtId="0" fontId="37" fillId="0" borderId="0" xfId="0" applyFont="1" applyAlignment="1">
      <alignment horizontal="right"/>
    </xf>
    <xf numFmtId="0" fontId="37" fillId="0" borderId="0" xfId="0" applyFont="1"/>
    <xf numFmtId="0" fontId="37" fillId="0" borderId="0" xfId="0" applyFont="1" applyAlignment="1">
      <alignment horizontal="center" vertical="center"/>
    </xf>
    <xf numFmtId="0" fontId="43" fillId="3" borderId="34" xfId="0" applyFont="1" applyFill="1" applyBorder="1" applyAlignment="1">
      <alignment horizontal="center" vertical="center" wrapText="1"/>
    </xf>
    <xf numFmtId="0" fontId="38" fillId="3" borderId="34" xfId="0" applyFont="1" applyFill="1" applyBorder="1" applyAlignment="1">
      <alignment horizontal="center" vertical="center" wrapText="1"/>
    </xf>
    <xf numFmtId="0" fontId="38" fillId="3" borderId="34" xfId="0" applyFont="1" applyFill="1" applyBorder="1" applyAlignment="1">
      <alignment vertical="center" wrapText="1"/>
    </xf>
    <xf numFmtId="0" fontId="44" fillId="3" borderId="34" xfId="0" applyFont="1" applyFill="1" applyBorder="1" applyAlignment="1">
      <alignment horizontal="center" vertical="center" wrapText="1"/>
    </xf>
    <xf numFmtId="0" fontId="38" fillId="3" borderId="37" xfId="0" applyFont="1" applyFill="1" applyBorder="1" applyAlignment="1">
      <alignment horizontal="center" vertical="center" wrapText="1"/>
    </xf>
    <xf numFmtId="0" fontId="38" fillId="0" borderId="0" xfId="0" applyFont="1" applyAlignment="1">
      <alignment horizontal="center" vertical="center"/>
    </xf>
    <xf numFmtId="0" fontId="43" fillId="3" borderId="37" xfId="0" applyFont="1" applyFill="1" applyBorder="1" applyAlignment="1">
      <alignment horizontal="center" vertical="center" wrapText="1"/>
    </xf>
    <xf numFmtId="0" fontId="37" fillId="3" borderId="37" xfId="0" applyFont="1" applyFill="1" applyBorder="1" applyAlignment="1">
      <alignment horizontal="center" vertical="center" wrapText="1"/>
    </xf>
    <xf numFmtId="0" fontId="39" fillId="3" borderId="37" xfId="0" applyFont="1" applyFill="1" applyBorder="1" applyAlignment="1">
      <alignment horizontal="center" vertical="center" wrapText="1"/>
    </xf>
    <xf numFmtId="0" fontId="38" fillId="0" borderId="41" xfId="0" applyFont="1" applyBorder="1" applyAlignment="1">
      <alignment horizontal="center" vertical="center" wrapText="1"/>
    </xf>
    <xf numFmtId="0" fontId="45" fillId="0" borderId="41" xfId="0" applyFont="1" applyBorder="1" applyAlignment="1">
      <alignment horizontal="center" vertical="center" wrapText="1"/>
    </xf>
    <xf numFmtId="0" fontId="46" fillId="0" borderId="41" xfId="0" applyFont="1" applyBorder="1" applyAlignment="1">
      <alignment horizontal="center" vertical="center" wrapText="1"/>
    </xf>
    <xf numFmtId="0" fontId="38" fillId="0" borderId="41" xfId="0" applyFont="1" applyBorder="1" applyAlignment="1">
      <alignment vertical="center" wrapText="1"/>
    </xf>
    <xf numFmtId="0" fontId="37" fillId="0" borderId="41" xfId="0" applyFont="1" applyBorder="1" applyAlignment="1">
      <alignment horizontal="center" vertical="center" wrapText="1"/>
    </xf>
    <xf numFmtId="0" fontId="37" fillId="0" borderId="41" xfId="0" applyFont="1" applyBorder="1" applyAlignment="1">
      <alignment vertical="center" wrapText="1"/>
    </xf>
    <xf numFmtId="0" fontId="37" fillId="0" borderId="0" xfId="0" applyFont="1" applyAlignment="1">
      <alignment horizontal="center"/>
    </xf>
    <xf numFmtId="0" fontId="37" fillId="0" borderId="0" xfId="0" applyFont="1" applyAlignment="1">
      <alignment wrapText="1"/>
    </xf>
    <xf numFmtId="0" fontId="37" fillId="0" borderId="53" xfId="0" applyFont="1" applyBorder="1" applyAlignment="1">
      <alignment horizontal="center" vertical="center" wrapText="1"/>
    </xf>
    <xf numFmtId="0" fontId="39" fillId="0" borderId="0" xfId="0" applyFont="1" applyAlignment="1">
      <alignment horizontal="left" vertical="center" wrapText="1"/>
    </xf>
    <xf numFmtId="0" fontId="38" fillId="3" borderId="34" xfId="0" applyFont="1" applyFill="1" applyBorder="1" applyAlignment="1">
      <alignment horizontal="left" vertical="center" wrapText="1"/>
    </xf>
    <xf numFmtId="0" fontId="37" fillId="0" borderId="41" xfId="0" applyFont="1" applyBorder="1" applyAlignment="1">
      <alignment horizontal="left" vertical="center" wrapText="1"/>
    </xf>
    <xf numFmtId="0" fontId="38" fillId="0" borderId="41" xfId="0" applyFont="1" applyBorder="1" applyAlignment="1">
      <alignment horizontal="left" vertical="center" wrapText="1"/>
    </xf>
    <xf numFmtId="0" fontId="37" fillId="0" borderId="0" xfId="0" applyFont="1" applyAlignment="1">
      <alignment horizontal="left"/>
    </xf>
    <xf numFmtId="0" fontId="49" fillId="0" borderId="41" xfId="0" applyFont="1" applyBorder="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left" vertical="center"/>
    </xf>
    <xf numFmtId="0" fontId="37" fillId="0" borderId="0" xfId="0" applyFont="1" applyAlignment="1">
      <alignment vertical="center"/>
    </xf>
    <xf numFmtId="0" fontId="41" fillId="7" borderId="33" xfId="0" applyFont="1" applyFill="1" applyBorder="1" applyAlignment="1">
      <alignment horizontal="center" vertical="top" wrapText="1"/>
    </xf>
    <xf numFmtId="0" fontId="42" fillId="0" borderId="35" xfId="0" applyFont="1" applyBorder="1"/>
    <xf numFmtId="0" fontId="42" fillId="0" borderId="35" xfId="0" applyFont="1" applyBorder="1" applyAlignment="1">
      <alignment horizontal="left"/>
    </xf>
    <xf numFmtId="0" fontId="42" fillId="0" borderId="36" xfId="0" applyFont="1" applyBorder="1"/>
    <xf numFmtId="0" fontId="38" fillId="3" borderId="33" xfId="0" applyFont="1" applyFill="1" applyBorder="1" applyAlignment="1">
      <alignment horizontal="center" vertical="center"/>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8" xfId="8" applyBorder="1" applyAlignment="1">
      <alignment horizontal="center"/>
    </xf>
    <xf numFmtId="0" fontId="0" fillId="0" borderId="44" xfId="0" applyBorder="1"/>
    <xf numFmtId="0" fontId="9" fillId="0" borderId="1" xfId="8" applyBorder="1" applyAlignment="1">
      <alignment horizontal="center"/>
    </xf>
    <xf numFmtId="0" fontId="0" fillId="0" borderId="4" xfId="0" applyBorder="1"/>
    <xf numFmtId="0" fontId="9" fillId="0" borderId="17" xfId="8" applyBorder="1" applyAlignment="1">
      <alignment horizontal="center"/>
    </xf>
    <xf numFmtId="0" fontId="9" fillId="0" borderId="15" xfId="8" applyBorder="1" applyAlignment="1">
      <alignment horizontal="center"/>
    </xf>
    <xf numFmtId="0" fontId="12" fillId="5" borderId="0" xfId="8" applyFont="1" applyFill="1" applyAlignment="1">
      <alignment horizontal="center"/>
    </xf>
    <xf numFmtId="0" fontId="12" fillId="5" borderId="8" xfId="8" applyFont="1" applyFill="1" applyBorder="1" applyAlignment="1">
      <alignment horizontal="center"/>
    </xf>
    <xf numFmtId="0" fontId="12" fillId="5" borderId="9" xfId="8" applyFont="1" applyFill="1" applyBorder="1" applyAlignment="1">
      <alignment horizontal="center"/>
    </xf>
    <xf numFmtId="180" fontId="9" fillId="0" borderId="13" xfId="8" applyNumberFormat="1" applyBorder="1" applyAlignment="1">
      <alignment horizontal="center"/>
    </xf>
    <xf numFmtId="0" fontId="0" fillId="0" borderId="43" xfId="0" applyBorder="1"/>
    <xf numFmtId="0" fontId="9" fillId="0" borderId="14" xfId="8" applyBorder="1" applyAlignment="1">
      <alignment horizontal="center"/>
    </xf>
    <xf numFmtId="14" fontId="9" fillId="0" borderId="14" xfId="8" applyNumberFormat="1"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8" xfId="12" applyNumberFormat="1" applyFont="1" applyFill="1" applyBorder="1" applyAlignment="1">
      <alignment horizontal="center" vertical="center"/>
    </xf>
    <xf numFmtId="0" fontId="0" fillId="0" borderId="49" xfId="0" applyBorder="1"/>
    <xf numFmtId="0" fontId="33" fillId="0" borderId="51" xfId="12" applyFont="1" applyBorder="1" applyAlignment="1">
      <alignment horizontal="center" vertical="center" wrapText="1"/>
    </xf>
    <xf numFmtId="0" fontId="0" fillId="0" borderId="8" xfId="0" applyBorder="1"/>
    <xf numFmtId="0" fontId="25" fillId="0" borderId="0" xfId="12" applyFont="1"/>
    <xf numFmtId="0" fontId="31" fillId="0" borderId="50"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5" xfId="12" applyFont="1" applyFill="1" applyBorder="1" applyAlignment="1">
      <alignment horizontal="center" vertical="center" wrapText="1"/>
    </xf>
    <xf numFmtId="0" fontId="0" fillId="0" borderId="46" xfId="0" applyBorder="1"/>
    <xf numFmtId="0" fontId="0" fillId="0" borderId="47"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52"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34"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9" applyFont="1" applyBorder="1" applyAlignment="1">
      <alignment horizontal="center" vertical="center"/>
    </xf>
    <xf numFmtId="0" fontId="27" fillId="0" borderId="0" xfId="0" applyFont="1" applyAlignment="1">
      <alignment horizontal="left"/>
    </xf>
  </cellXfs>
  <cellStyles count="2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redirect/project/NR1L/workitem/question_mark/id=NRL-67966" TargetMode="External"/><Relationship Id="rId21" Type="http://schemas.openxmlformats.org/officeDocument/2006/relationships/hyperlink" Target="http://10.56.56.222/polarion/redirect/project/NR1L/workitem/question_mark/id=NRL-67814" TargetMode="External"/><Relationship Id="rId42" Type="http://schemas.openxmlformats.org/officeDocument/2006/relationships/hyperlink" Target="http://10.56.56.222/polarion/redirect/project/NR1L/workitem/question_mark/id=NRL-67850" TargetMode="External"/><Relationship Id="rId63" Type="http://schemas.openxmlformats.org/officeDocument/2006/relationships/hyperlink" Target="http://10.56.56.222/polarion/redirect/project/NR1L/workitem/question_mark/id=NRL-67875" TargetMode="External"/><Relationship Id="rId84" Type="http://schemas.openxmlformats.org/officeDocument/2006/relationships/hyperlink" Target="http://10.56.56.222/polarion/redirect/project/NR1L/workitem/question_mark/id=NRL-67914" TargetMode="External"/><Relationship Id="rId138" Type="http://schemas.openxmlformats.org/officeDocument/2006/relationships/hyperlink" Target="http://10.56.56.222/polarion/redirect/project/NR1L/workitem/question_mark/id=NRL-67887" TargetMode="External"/><Relationship Id="rId107" Type="http://schemas.openxmlformats.org/officeDocument/2006/relationships/hyperlink" Target="http://10.56.56.222/polarion/redirect/project/NR1L/workitem/question_mark/id=NRL-67943" TargetMode="External"/><Relationship Id="rId11" Type="http://schemas.openxmlformats.org/officeDocument/2006/relationships/hyperlink" Target="http://10.56.56.222/polarion/redirect/project/NR1L/workitem/question_mark/id=NRL-67804" TargetMode="External"/><Relationship Id="rId32" Type="http://schemas.openxmlformats.org/officeDocument/2006/relationships/hyperlink" Target="http://10.56.56.222/polarion/redirect/project/NR1L/workitem/question_mark/id=NRL-67835" TargetMode="External"/><Relationship Id="rId53" Type="http://schemas.openxmlformats.org/officeDocument/2006/relationships/hyperlink" Target="http://10.56.56.222/polarion/redirect/project/NR1L/workitem/question_mark/id=NRL-67863" TargetMode="External"/><Relationship Id="rId74" Type="http://schemas.openxmlformats.org/officeDocument/2006/relationships/hyperlink" Target="http://10.56.56.222/polarion/redirect/project/NR1L/workitem/question_mark/id=NRL-67899" TargetMode="External"/><Relationship Id="rId128" Type="http://schemas.openxmlformats.org/officeDocument/2006/relationships/hyperlink" Target="http://10.56.56.222/polarion/redirect/project/NR1L/workitem/question_mark/id=NRL-67997" TargetMode="External"/><Relationship Id="rId5" Type="http://schemas.openxmlformats.org/officeDocument/2006/relationships/hyperlink" Target="http://10.56.56.222/polarion/redirect/project/NR1L/workitem/question_mark/id=NRL-67798" TargetMode="External"/><Relationship Id="rId90" Type="http://schemas.openxmlformats.org/officeDocument/2006/relationships/hyperlink" Target="http://10.56.56.222/polarion/redirect/project/NR1L/workitem/question_mark/id=NRL-67921" TargetMode="External"/><Relationship Id="rId95" Type="http://schemas.openxmlformats.org/officeDocument/2006/relationships/hyperlink" Target="http://10.56.56.222/polarion/redirect/project/NR1L/workitem/question_mark/id=NRL-67927" TargetMode="External"/><Relationship Id="rId22" Type="http://schemas.openxmlformats.org/officeDocument/2006/relationships/hyperlink" Target="http://10.56.56.222/polarion/redirect/project/NR1L/workitem/question_mark/id=NRL-67815" TargetMode="External"/><Relationship Id="rId27" Type="http://schemas.openxmlformats.org/officeDocument/2006/relationships/hyperlink" Target="http://10.56.56.222/polarion/redirect/project/NR1L/workitem/question_mark/id=NRL-67820" TargetMode="External"/><Relationship Id="rId43" Type="http://schemas.openxmlformats.org/officeDocument/2006/relationships/hyperlink" Target="http://10.56.56.222/polarion/redirect/project/NR1L/workitem/question_mark/id=NRL-67851" TargetMode="External"/><Relationship Id="rId48" Type="http://schemas.openxmlformats.org/officeDocument/2006/relationships/hyperlink" Target="http://10.56.56.222/polarion/redirect/project/NR1L/workitem/question_mark/id=NRL-67857" TargetMode="External"/><Relationship Id="rId64" Type="http://schemas.openxmlformats.org/officeDocument/2006/relationships/hyperlink" Target="http://10.56.56.222/polarion/redirect/project/NR1L/workitem/question_mark/id=NRL-67878" TargetMode="External"/><Relationship Id="rId69" Type="http://schemas.openxmlformats.org/officeDocument/2006/relationships/hyperlink" Target="http://10.56.56.222/polarion/redirect/project/NR1L/workitem/question_mark/id=NRL-67887" TargetMode="External"/><Relationship Id="rId113" Type="http://schemas.openxmlformats.org/officeDocument/2006/relationships/hyperlink" Target="http://10.56.56.222/polarion/redirect/project/NR1L/workitem/question_mark/id=NRL-67961" TargetMode="External"/><Relationship Id="rId118" Type="http://schemas.openxmlformats.org/officeDocument/2006/relationships/hyperlink" Target="http://10.56.56.222/polarion/redirect/project/NR1L/workitem/question_mark/id=NRL-67967" TargetMode="External"/><Relationship Id="rId134" Type="http://schemas.openxmlformats.org/officeDocument/2006/relationships/hyperlink" Target="http://10.56.56.222/polarion/redirect/project/NR1L/workitem/question_mark/id=NRL-67812" TargetMode="External"/><Relationship Id="rId139" Type="http://schemas.openxmlformats.org/officeDocument/2006/relationships/hyperlink" Target="http://10.56.56.222/polarion/redirect/project/NR1L/workitem/question_mark/id=NRL-67887" TargetMode="External"/><Relationship Id="rId80" Type="http://schemas.openxmlformats.org/officeDocument/2006/relationships/hyperlink" Target="http://10.56.56.222/polarion/redirect/project/NR1L/workitem/question_mark/id=NRL-67910" TargetMode="External"/><Relationship Id="rId85" Type="http://schemas.openxmlformats.org/officeDocument/2006/relationships/hyperlink" Target="http://10.56.56.222/polarion/redirect/project/NR1L/workitem/question_mark/id=NRL-67916" TargetMode="External"/><Relationship Id="rId12" Type="http://schemas.openxmlformats.org/officeDocument/2006/relationships/hyperlink" Target="http://10.56.56.222/polarion/redirect/project/NR1L/workitem/question_mark/id=NRL-67805" TargetMode="External"/><Relationship Id="rId17" Type="http://schemas.openxmlformats.org/officeDocument/2006/relationships/hyperlink" Target="http://10.56.56.222/polarion/redirect/project/NR1L/workitem/question_mark/id=NRL-67810" TargetMode="External"/><Relationship Id="rId33" Type="http://schemas.openxmlformats.org/officeDocument/2006/relationships/hyperlink" Target="http://10.56.56.222/polarion/redirect/project/NR1L/workitem/question_mark/id=NRL-67836" TargetMode="External"/><Relationship Id="rId38" Type="http://schemas.openxmlformats.org/officeDocument/2006/relationships/hyperlink" Target="http://10.56.56.222/polarion/redirect/project/NR1L/workitem/question_mark/id=NRL-67845" TargetMode="External"/><Relationship Id="rId59" Type="http://schemas.openxmlformats.org/officeDocument/2006/relationships/hyperlink" Target="http://10.56.56.222/polarion/redirect/project/NR1L/workitem/question_mark/id=NRL-67870" TargetMode="External"/><Relationship Id="rId103" Type="http://schemas.openxmlformats.org/officeDocument/2006/relationships/hyperlink" Target="http://10.56.56.222/polarion/redirect/project/NR1L/workitem/question_mark/id=NRL-67937" TargetMode="External"/><Relationship Id="rId108" Type="http://schemas.openxmlformats.org/officeDocument/2006/relationships/hyperlink" Target="http://10.56.56.222/polarion/redirect/project/NR1L/workitem/question_mark/id=NRL-67944" TargetMode="External"/><Relationship Id="rId124" Type="http://schemas.openxmlformats.org/officeDocument/2006/relationships/hyperlink" Target="http://10.56.56.222/polarion/redirect/project/NR1L/workitem/question_mark/id=NRL-67975" TargetMode="External"/><Relationship Id="rId129" Type="http://schemas.openxmlformats.org/officeDocument/2006/relationships/hyperlink" Target="http://10.56.56.222/polarion/redirect/project/NR1L/workitem/question_mark/id=NRL-68011" TargetMode="External"/><Relationship Id="rId54" Type="http://schemas.openxmlformats.org/officeDocument/2006/relationships/hyperlink" Target="http://10.56.56.222/polarion/redirect/project/NR1L/workitem/question_mark/id=NRL-67864" TargetMode="External"/><Relationship Id="rId70" Type="http://schemas.openxmlformats.org/officeDocument/2006/relationships/hyperlink" Target="http://10.56.56.222/polarion/redirect/project/NR1L/workitem/question_mark/id=NRL-67888" TargetMode="External"/><Relationship Id="rId75" Type="http://schemas.openxmlformats.org/officeDocument/2006/relationships/hyperlink" Target="http://10.56.56.222/polarion/redirect/project/NR1L/workitem/question_mark/id=NRL-67904" TargetMode="External"/><Relationship Id="rId91" Type="http://schemas.openxmlformats.org/officeDocument/2006/relationships/hyperlink" Target="http://10.56.56.222/polarion/redirect/project/NR1L/workitem/question_mark/id=NRL-67923" TargetMode="External"/><Relationship Id="rId96" Type="http://schemas.openxmlformats.org/officeDocument/2006/relationships/hyperlink" Target="http://10.56.56.222/polarion/redirect/project/NR1L/workitem/question_mark/id=NRL-67928" TargetMode="External"/><Relationship Id="rId140" Type="http://schemas.openxmlformats.org/officeDocument/2006/relationships/hyperlink" Target="http://10.56.56.222/polarion/redirect/project/NR1L/workitem/question_mark/id=NRL-67887" TargetMode="External"/><Relationship Id="rId145" Type="http://schemas.openxmlformats.org/officeDocument/2006/relationships/hyperlink" Target="http://10.56.56.222/polarion/redirect/project/NR1L/workitem/question_mark/id=NRL-67942" TargetMode="External"/><Relationship Id="rId1" Type="http://schemas.openxmlformats.org/officeDocument/2006/relationships/hyperlink" Target="http://10.56.56.222/polarion/redirect/project/NR1L/workitem/question_mark/id=NRL-67794" TargetMode="External"/><Relationship Id="rId6" Type="http://schemas.openxmlformats.org/officeDocument/2006/relationships/hyperlink" Target="http://10.56.56.222/polarion/redirect/project/NR1L/workitem/question_mark/id=NRL-67799" TargetMode="External"/><Relationship Id="rId23" Type="http://schemas.openxmlformats.org/officeDocument/2006/relationships/hyperlink" Target="http://10.56.56.222/polarion/redirect/project/NR1L/workitem/question_mark/id=NRL-67816" TargetMode="External"/><Relationship Id="rId28" Type="http://schemas.openxmlformats.org/officeDocument/2006/relationships/hyperlink" Target="http://10.56.56.222/polarion/redirect/project/NR1L/workitem/question_mark/id=NRL-67821" TargetMode="External"/><Relationship Id="rId49" Type="http://schemas.openxmlformats.org/officeDocument/2006/relationships/hyperlink" Target="http://10.56.56.222/polarion/redirect/project/NR1L/workitem/question_mark/id=NRL-67858" TargetMode="External"/><Relationship Id="rId114" Type="http://schemas.openxmlformats.org/officeDocument/2006/relationships/hyperlink" Target="http://10.56.56.222/polarion/redirect/project/NR1L/workitem/question_mark/id=NRL-67963" TargetMode="External"/><Relationship Id="rId119" Type="http://schemas.openxmlformats.org/officeDocument/2006/relationships/hyperlink" Target="http://10.56.56.222/polarion/redirect/project/NR1L/workitem/question_mark/id=NRL-67968" TargetMode="External"/><Relationship Id="rId44" Type="http://schemas.openxmlformats.org/officeDocument/2006/relationships/hyperlink" Target="http://10.56.56.222/polarion/redirect/project/NR1L/workitem/question_mark/id=NRL-67853" TargetMode="External"/><Relationship Id="rId60" Type="http://schemas.openxmlformats.org/officeDocument/2006/relationships/hyperlink" Target="http://10.56.56.222/polarion/redirect/project/NR1L/workitem/question_mark/id=NRL-67871" TargetMode="External"/><Relationship Id="rId65" Type="http://schemas.openxmlformats.org/officeDocument/2006/relationships/hyperlink" Target="http://10.56.56.222/polarion/redirect/project/NR1L/workitem/question_mark/id=NRL-67879" TargetMode="External"/><Relationship Id="rId81" Type="http://schemas.openxmlformats.org/officeDocument/2006/relationships/hyperlink" Target="http://10.56.56.222/polarion/redirect/project/NR1L/workitem/question_mark/id=NRL-67911" TargetMode="External"/><Relationship Id="rId86" Type="http://schemas.openxmlformats.org/officeDocument/2006/relationships/hyperlink" Target="http://10.56.56.222/polarion/redirect/project/NR1L/workitem/question_mark/id=NRL-67917" TargetMode="External"/><Relationship Id="rId130" Type="http://schemas.openxmlformats.org/officeDocument/2006/relationships/hyperlink" Target="http://10.56.56.222/polarion/redirect/project/NR1L/workitem/question_mark/id=NRL-68015" TargetMode="External"/><Relationship Id="rId135" Type="http://schemas.openxmlformats.org/officeDocument/2006/relationships/hyperlink" Target="http://10.56.56.222/polarion/redirect/project/NR1L/workitem/question_mark/id=NRL-67813" TargetMode="External"/><Relationship Id="rId13" Type="http://schemas.openxmlformats.org/officeDocument/2006/relationships/hyperlink" Target="http://10.56.56.222/polarion/redirect/project/NR1L/workitem/question_mark/id=NRL-67806" TargetMode="External"/><Relationship Id="rId18" Type="http://schemas.openxmlformats.org/officeDocument/2006/relationships/hyperlink" Target="http://10.56.56.222/polarion/redirect/project/NR1L/workitem/question_mark/id=NRL-67811" TargetMode="External"/><Relationship Id="rId39" Type="http://schemas.openxmlformats.org/officeDocument/2006/relationships/hyperlink" Target="http://10.56.56.222/polarion/redirect/project/NR1L/workitem/question_mark/id=NRL-67847" TargetMode="External"/><Relationship Id="rId109" Type="http://schemas.openxmlformats.org/officeDocument/2006/relationships/hyperlink" Target="http://10.56.56.222/polarion/redirect/project/NR1L/workitem/question_mark/id=NRL-67945" TargetMode="External"/><Relationship Id="rId34" Type="http://schemas.openxmlformats.org/officeDocument/2006/relationships/hyperlink" Target="http://10.56.56.222/polarion/redirect/project/NR1L/workitem/question_mark/id=NRL-67841" TargetMode="External"/><Relationship Id="rId50" Type="http://schemas.openxmlformats.org/officeDocument/2006/relationships/hyperlink" Target="http://10.56.56.222/polarion/redirect/project/NR1L/workitem/question_mark/id=NRL-67860" TargetMode="External"/><Relationship Id="rId55" Type="http://schemas.openxmlformats.org/officeDocument/2006/relationships/hyperlink" Target="http://10.56.56.222/polarion/redirect/project/NR1L/workitem/question_mark/id=NRL-67865" TargetMode="External"/><Relationship Id="rId76" Type="http://schemas.openxmlformats.org/officeDocument/2006/relationships/hyperlink" Target="http://10.56.56.222/polarion/redirect/project/NR1L/workitem/question_mark/id=NRL-67905" TargetMode="External"/><Relationship Id="rId97" Type="http://schemas.openxmlformats.org/officeDocument/2006/relationships/hyperlink" Target="http://10.56.56.222/polarion/redirect/project/NR1L/workitem/question_mark/id=NRL-67930" TargetMode="External"/><Relationship Id="rId104" Type="http://schemas.openxmlformats.org/officeDocument/2006/relationships/hyperlink" Target="http://10.56.56.222/polarion/redirect/project/NR1L/workitem/question_mark/id=NRL-67938" TargetMode="External"/><Relationship Id="rId120" Type="http://schemas.openxmlformats.org/officeDocument/2006/relationships/hyperlink" Target="http://10.56.56.222/polarion/redirect/project/NR1L/workitem/question_mark/id=NRL-67969" TargetMode="External"/><Relationship Id="rId125" Type="http://schemas.openxmlformats.org/officeDocument/2006/relationships/hyperlink" Target="http://10.56.56.222/polarion/redirect/project/NR1L/workitem/question_mark/id=NRL-67982" TargetMode="External"/><Relationship Id="rId141" Type="http://schemas.openxmlformats.org/officeDocument/2006/relationships/hyperlink" Target="http://10.56.56.222/polarion/redirect/project/NR1L/workitem/question_mark/id=NRL-67887" TargetMode="External"/><Relationship Id="rId146" Type="http://schemas.openxmlformats.org/officeDocument/2006/relationships/drawing" Target="../drawings/drawing6.xml"/><Relationship Id="rId7" Type="http://schemas.openxmlformats.org/officeDocument/2006/relationships/hyperlink" Target="http://10.56.56.222/polarion/redirect/project/NR1L/workitem/question_mark/id=NRL-67800" TargetMode="External"/><Relationship Id="rId71" Type="http://schemas.openxmlformats.org/officeDocument/2006/relationships/hyperlink" Target="http://10.56.56.222/polarion/redirect/project/NR1L/workitem/question_mark/id=NRL-67889" TargetMode="External"/><Relationship Id="rId92" Type="http://schemas.openxmlformats.org/officeDocument/2006/relationships/hyperlink" Target="http://10.56.56.222/polarion/redirect/project/NR1L/workitem/question_mark/id=NRL-67924" TargetMode="External"/><Relationship Id="rId2" Type="http://schemas.openxmlformats.org/officeDocument/2006/relationships/hyperlink" Target="http://10.56.56.222/polarion/redirect/project/NR1L/workitem/question_mark/id=NRL-67795" TargetMode="External"/><Relationship Id="rId29" Type="http://schemas.openxmlformats.org/officeDocument/2006/relationships/hyperlink" Target="http://10.56.56.222/polarion/redirect/project/NR1L/workitem/question_mark/id=NRL-67822" TargetMode="External"/><Relationship Id="rId24" Type="http://schemas.openxmlformats.org/officeDocument/2006/relationships/hyperlink" Target="http://10.56.56.222/polarion/redirect/project/NR1L/workitem/question_mark/id=NRL-67817" TargetMode="External"/><Relationship Id="rId40" Type="http://schemas.openxmlformats.org/officeDocument/2006/relationships/hyperlink" Target="http://10.56.56.222/polarion/redirect/project/NR1L/workitem/question_mark/id=NRL-67848" TargetMode="External"/><Relationship Id="rId45" Type="http://schemas.openxmlformats.org/officeDocument/2006/relationships/hyperlink" Target="http://10.56.56.222/polarion/redirect/project/NR1L/workitem/question_mark/id=NRL-67854" TargetMode="External"/><Relationship Id="rId66" Type="http://schemas.openxmlformats.org/officeDocument/2006/relationships/hyperlink" Target="http://10.56.56.222/polarion/redirect/project/NR1L/workitem/question_mark/id=NRL-67880" TargetMode="External"/><Relationship Id="rId87" Type="http://schemas.openxmlformats.org/officeDocument/2006/relationships/hyperlink" Target="http://10.56.56.222/polarion/redirect/project/NR1L/workitem/question_mark/id=NRL-67918" TargetMode="External"/><Relationship Id="rId110" Type="http://schemas.openxmlformats.org/officeDocument/2006/relationships/hyperlink" Target="http://10.56.56.222/polarion/redirect/project/NR1L/workitem/question_mark/id=NRL-67954" TargetMode="External"/><Relationship Id="rId115" Type="http://schemas.openxmlformats.org/officeDocument/2006/relationships/hyperlink" Target="http://10.56.56.222/polarion/redirect/project/NR1L/workitem/question_mark/id=NRL-67964" TargetMode="External"/><Relationship Id="rId131" Type="http://schemas.openxmlformats.org/officeDocument/2006/relationships/hyperlink" Target="http://10.56.56.222/polarion/redirect/project/NR1L/workitem/question_mark/id=NRL-67805" TargetMode="External"/><Relationship Id="rId136" Type="http://schemas.openxmlformats.org/officeDocument/2006/relationships/hyperlink" Target="http://10.56.56.222/polarion/redirect/project/NR1L/workitem/question_mark/id=NRL-67878" TargetMode="External"/><Relationship Id="rId61" Type="http://schemas.openxmlformats.org/officeDocument/2006/relationships/hyperlink" Target="http://10.56.56.222/polarion/redirect/project/NR1L/workitem/question_mark/id=NRL-67873" TargetMode="External"/><Relationship Id="rId82" Type="http://schemas.openxmlformats.org/officeDocument/2006/relationships/hyperlink" Target="http://10.56.56.222/polarion/redirect/project/NR1L/workitem/question_mark/id=NRL-67912" TargetMode="External"/><Relationship Id="rId19" Type="http://schemas.openxmlformats.org/officeDocument/2006/relationships/hyperlink" Target="http://10.56.56.222/polarion/redirect/project/NR1L/workitem/question_mark/id=NRL-67812" TargetMode="External"/><Relationship Id="rId14" Type="http://schemas.openxmlformats.org/officeDocument/2006/relationships/hyperlink" Target="http://10.56.56.222/polarion/redirect/project/NR1L/workitem/question_mark/id=NRL-67807" TargetMode="External"/><Relationship Id="rId30" Type="http://schemas.openxmlformats.org/officeDocument/2006/relationships/hyperlink" Target="http://10.56.56.222/polarion/redirect/project/NR1L/workitem/question_mark/id=NRL-67823" TargetMode="External"/><Relationship Id="rId35" Type="http://schemas.openxmlformats.org/officeDocument/2006/relationships/hyperlink" Target="http://10.56.56.222/polarion/redirect/project/NR1L/workitem/question_mark/id=NRL-67842" TargetMode="External"/><Relationship Id="rId56" Type="http://schemas.openxmlformats.org/officeDocument/2006/relationships/hyperlink" Target="http://10.56.56.222/polarion/redirect/project/NR1L/workitem/question_mark/id=NRL-67867" TargetMode="External"/><Relationship Id="rId77" Type="http://schemas.openxmlformats.org/officeDocument/2006/relationships/hyperlink" Target="http://10.56.56.222/polarion/redirect/project/NR1L/workitem/question_mark/id=NRL-67906" TargetMode="External"/><Relationship Id="rId100" Type="http://schemas.openxmlformats.org/officeDocument/2006/relationships/hyperlink" Target="http://10.56.56.222/polarion/redirect/project/NR1L/workitem/question_mark/id=NRL-67933" TargetMode="External"/><Relationship Id="rId105" Type="http://schemas.openxmlformats.org/officeDocument/2006/relationships/hyperlink" Target="http://10.56.56.222/polarion/redirect/project/NR1L/workitem/question_mark/id=NRL-67941" TargetMode="External"/><Relationship Id="rId126" Type="http://schemas.openxmlformats.org/officeDocument/2006/relationships/hyperlink" Target="http://10.56.56.222/polarion/redirect/project/NR1L/workitem/question_mark/id=NRL-67990" TargetMode="External"/><Relationship Id="rId147" Type="http://schemas.openxmlformats.org/officeDocument/2006/relationships/vmlDrawing" Target="../drawings/vmlDrawing1.vml"/><Relationship Id="rId8" Type="http://schemas.openxmlformats.org/officeDocument/2006/relationships/hyperlink" Target="http://10.56.56.222/polarion/redirect/project/NR1L/workitem/question_mark/id=NRL-67801" TargetMode="External"/><Relationship Id="rId51" Type="http://schemas.openxmlformats.org/officeDocument/2006/relationships/hyperlink" Target="http://10.56.56.222/polarion/redirect/project/NR1L/workitem/question_mark/id=NRL-67861" TargetMode="External"/><Relationship Id="rId72" Type="http://schemas.openxmlformats.org/officeDocument/2006/relationships/hyperlink" Target="http://10.56.56.222/polarion/redirect/project/NR1L/workitem/question_mark/id=NRL-67897" TargetMode="External"/><Relationship Id="rId93" Type="http://schemas.openxmlformats.org/officeDocument/2006/relationships/hyperlink" Target="http://10.56.56.222/polarion/redirect/project/NR1L/workitem/question_mark/id=NRL-67925" TargetMode="External"/><Relationship Id="rId98" Type="http://schemas.openxmlformats.org/officeDocument/2006/relationships/hyperlink" Target="http://10.56.56.222/polarion/redirect/project/NR1L/workitem/question_mark/id=NRL-67931" TargetMode="External"/><Relationship Id="rId121" Type="http://schemas.openxmlformats.org/officeDocument/2006/relationships/hyperlink" Target="http://10.56.56.222/polarion/redirect/project/NR1L/workitem/question_mark/id=NRL-67970" TargetMode="External"/><Relationship Id="rId142" Type="http://schemas.openxmlformats.org/officeDocument/2006/relationships/hyperlink" Target="http://10.56.56.222/polarion/redirect/project/NR1L/workitem/question_mark/id=NRL-67887" TargetMode="External"/><Relationship Id="rId3" Type="http://schemas.openxmlformats.org/officeDocument/2006/relationships/hyperlink" Target="http://10.56.56.222/polarion/redirect/project/NR1L/workitem/question_mark/id=NRL-67796" TargetMode="External"/><Relationship Id="rId25" Type="http://schemas.openxmlformats.org/officeDocument/2006/relationships/hyperlink" Target="http://10.56.56.222/polarion/redirect/project/NR1L/workitem/question_mark/id=NRL-67818" TargetMode="External"/><Relationship Id="rId46" Type="http://schemas.openxmlformats.org/officeDocument/2006/relationships/hyperlink" Target="http://10.56.56.222/polarion/redirect/project/NR1L/workitem/question_mark/id=NRL-67855" TargetMode="External"/><Relationship Id="rId67" Type="http://schemas.openxmlformats.org/officeDocument/2006/relationships/hyperlink" Target="http://10.56.56.222/polarion/redirect/project/NR1L/workitem/question_mark/id=NRL-67881" TargetMode="External"/><Relationship Id="rId116" Type="http://schemas.openxmlformats.org/officeDocument/2006/relationships/hyperlink" Target="http://10.56.56.222/polarion/redirect/project/NR1L/workitem/question_mark/id=NRL-67965" TargetMode="External"/><Relationship Id="rId137" Type="http://schemas.openxmlformats.org/officeDocument/2006/relationships/hyperlink" Target="http://10.56.56.222/polarion/redirect/project/NR1L/workitem/question_mark/id=NRL-67879" TargetMode="External"/><Relationship Id="rId20" Type="http://schemas.openxmlformats.org/officeDocument/2006/relationships/hyperlink" Target="http://10.56.56.222/polarion/redirect/project/NR1L/workitem/question_mark/id=NRL-67813" TargetMode="External"/><Relationship Id="rId41" Type="http://schemas.openxmlformats.org/officeDocument/2006/relationships/hyperlink" Target="http://10.56.56.222/polarion/redirect/project/NR1L/workitem/question_mark/id=NRL-67849" TargetMode="External"/><Relationship Id="rId62" Type="http://schemas.openxmlformats.org/officeDocument/2006/relationships/hyperlink" Target="http://10.56.56.222/polarion/redirect/project/NR1L/workitem/question_mark/id=NRL-67874" TargetMode="External"/><Relationship Id="rId83" Type="http://schemas.openxmlformats.org/officeDocument/2006/relationships/hyperlink" Target="http://10.56.56.222/polarion/redirect/project/NR1L/workitem/question_mark/id=NRL-67913" TargetMode="External"/><Relationship Id="rId88" Type="http://schemas.openxmlformats.org/officeDocument/2006/relationships/hyperlink" Target="http://10.56.56.222/polarion/redirect/project/NR1L/workitem/question_mark/id=NRL-67919" TargetMode="External"/><Relationship Id="rId111" Type="http://schemas.openxmlformats.org/officeDocument/2006/relationships/hyperlink" Target="http://10.56.56.222/polarion/redirect/project/NR1L/workitem/question_mark/id=NRL-67957" TargetMode="External"/><Relationship Id="rId132" Type="http://schemas.openxmlformats.org/officeDocument/2006/relationships/hyperlink" Target="http://10.56.56.222/polarion/redirect/project/NR1L/workitem/question_mark/id=NRL-67808" TargetMode="External"/><Relationship Id="rId15" Type="http://schemas.openxmlformats.org/officeDocument/2006/relationships/hyperlink" Target="http://10.56.56.222/polarion/redirect/project/NR1L/workitem/question_mark/id=NRL-67808" TargetMode="External"/><Relationship Id="rId36" Type="http://schemas.openxmlformats.org/officeDocument/2006/relationships/hyperlink" Target="http://10.56.56.222/polarion/redirect/project/NR1L/workitem/question_mark/id=NRL-67843" TargetMode="External"/><Relationship Id="rId57" Type="http://schemas.openxmlformats.org/officeDocument/2006/relationships/hyperlink" Target="http://10.56.56.222/polarion/redirect/project/NR1L/workitem/question_mark/id=NRL-67868" TargetMode="External"/><Relationship Id="rId106" Type="http://schemas.openxmlformats.org/officeDocument/2006/relationships/hyperlink" Target="http://10.56.56.222/polarion/redirect/project/NR1L/workitem/question_mark/id=NRL-67942" TargetMode="External"/><Relationship Id="rId127" Type="http://schemas.openxmlformats.org/officeDocument/2006/relationships/hyperlink" Target="http://10.56.56.222/polarion/redirect/project/NR1L/workitem/question_mark/id=NRL-67993" TargetMode="External"/><Relationship Id="rId10" Type="http://schemas.openxmlformats.org/officeDocument/2006/relationships/hyperlink" Target="http://10.56.56.222/polarion/redirect/project/NR1L/workitem/question_mark/id=NRL-67803" TargetMode="External"/><Relationship Id="rId31" Type="http://schemas.openxmlformats.org/officeDocument/2006/relationships/hyperlink" Target="http://10.56.56.222/polarion/redirect/project/NR1L/workitem/question_mark/id=NRL-67834" TargetMode="External"/><Relationship Id="rId52" Type="http://schemas.openxmlformats.org/officeDocument/2006/relationships/hyperlink" Target="http://10.56.56.222/polarion/redirect/project/NR1L/workitem/question_mark/id=NRL-67862" TargetMode="External"/><Relationship Id="rId73" Type="http://schemas.openxmlformats.org/officeDocument/2006/relationships/hyperlink" Target="http://10.56.56.222/polarion/redirect/project/NR1L/workitem/question_mark/id=NRL-67898" TargetMode="External"/><Relationship Id="rId78" Type="http://schemas.openxmlformats.org/officeDocument/2006/relationships/hyperlink" Target="http://10.56.56.222/polarion/redirect/project/NR1L/workitem/question_mark/id=NRL-67907" TargetMode="External"/><Relationship Id="rId94" Type="http://schemas.openxmlformats.org/officeDocument/2006/relationships/hyperlink" Target="http://10.56.56.222/polarion/redirect/project/NR1L/workitem/question_mark/id=NRL-67926" TargetMode="External"/><Relationship Id="rId99" Type="http://schemas.openxmlformats.org/officeDocument/2006/relationships/hyperlink" Target="http://10.56.56.222/polarion/redirect/project/NR1L/workitem/question_mark/id=NRL-67932" TargetMode="External"/><Relationship Id="rId101" Type="http://schemas.openxmlformats.org/officeDocument/2006/relationships/hyperlink" Target="http://10.56.56.222/polarion/redirect/project/NR1L/workitem/question_mark/id=NRL-67934" TargetMode="External"/><Relationship Id="rId122" Type="http://schemas.openxmlformats.org/officeDocument/2006/relationships/hyperlink" Target="http://10.56.56.222/polarion/redirect/project/NR1L/workitem/question_mark/id=NRL-67971" TargetMode="External"/><Relationship Id="rId143" Type="http://schemas.openxmlformats.org/officeDocument/2006/relationships/hyperlink" Target="http://10.56.56.222/polarion/redirect/project/NR1L/workitem/question_mark/id=NRL-67888" TargetMode="External"/><Relationship Id="rId148" Type="http://schemas.openxmlformats.org/officeDocument/2006/relationships/comments" Target="../comments1.xml"/><Relationship Id="rId4" Type="http://schemas.openxmlformats.org/officeDocument/2006/relationships/hyperlink" Target="http://10.56.56.222/polarion/redirect/project/NR1L/workitem/question_mark/id=NRL-67797" TargetMode="External"/><Relationship Id="rId9" Type="http://schemas.openxmlformats.org/officeDocument/2006/relationships/hyperlink" Target="http://10.56.56.222/polarion/redirect/project/NR1L/workitem/question_mark/id=NRL-67802" TargetMode="External"/><Relationship Id="rId26" Type="http://schemas.openxmlformats.org/officeDocument/2006/relationships/hyperlink" Target="http://10.56.56.222/polarion/redirect/project/NR1L/workitem/question_mark/id=NRL-67819" TargetMode="External"/><Relationship Id="rId47" Type="http://schemas.openxmlformats.org/officeDocument/2006/relationships/hyperlink" Target="http://10.56.56.222/polarion/redirect/project/NR1L/workitem/question_mark/id=NRL-67856" TargetMode="External"/><Relationship Id="rId68" Type="http://schemas.openxmlformats.org/officeDocument/2006/relationships/hyperlink" Target="http://10.56.56.222/polarion/redirect/project/NR1L/workitem/question_mark/id=NRL-67882" TargetMode="External"/><Relationship Id="rId89" Type="http://schemas.openxmlformats.org/officeDocument/2006/relationships/hyperlink" Target="http://10.56.56.222/polarion/redirect/project/NR1L/workitem/question_mark/id=NRL-67920" TargetMode="External"/><Relationship Id="rId112" Type="http://schemas.openxmlformats.org/officeDocument/2006/relationships/hyperlink" Target="http://10.56.56.222/polarion/redirect/project/NR1L/workitem/question_mark/id=NRL-67960" TargetMode="External"/><Relationship Id="rId133" Type="http://schemas.openxmlformats.org/officeDocument/2006/relationships/hyperlink" Target="http://10.56.56.222/polarion/redirect/project/NR1L/workitem/question_mark/id=NRL-67809" TargetMode="External"/><Relationship Id="rId16" Type="http://schemas.openxmlformats.org/officeDocument/2006/relationships/hyperlink" Target="http://10.56.56.222/polarion/redirect/project/NR1L/workitem/question_mark/id=NRL-67809" TargetMode="External"/><Relationship Id="rId37" Type="http://schemas.openxmlformats.org/officeDocument/2006/relationships/hyperlink" Target="http://10.56.56.222/polarion/redirect/project/NR1L/workitem/question_mark/id=NRL-67844" TargetMode="External"/><Relationship Id="rId58" Type="http://schemas.openxmlformats.org/officeDocument/2006/relationships/hyperlink" Target="http://10.56.56.222/polarion/redirect/project/NR1L/workitem/question_mark/id=NRL-67869" TargetMode="External"/><Relationship Id="rId79" Type="http://schemas.openxmlformats.org/officeDocument/2006/relationships/hyperlink" Target="http://10.56.56.222/polarion/redirect/project/NR1L/workitem/question_mark/id=NRL-67908" TargetMode="External"/><Relationship Id="rId102" Type="http://schemas.openxmlformats.org/officeDocument/2006/relationships/hyperlink" Target="http://10.56.56.222/polarion/redirect/project/NR1L/workitem/question_mark/id=NRL-67936" TargetMode="External"/><Relationship Id="rId123" Type="http://schemas.openxmlformats.org/officeDocument/2006/relationships/hyperlink" Target="http://10.56.56.222/polarion/redirect/project/NR1L/workitem/question_mark/id=NRL-67974" TargetMode="External"/><Relationship Id="rId144" Type="http://schemas.openxmlformats.org/officeDocument/2006/relationships/hyperlink" Target="http://10.56.56.222/polarion/redirect/project/NR1L/workitem/question_mark/id=NRL-6794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8" width="9" style="3" customWidth="1"/>
    <col min="9" max="16384" width="9" style="3"/>
  </cols>
  <sheetData>
    <row r="1" spans="1:10">
      <c r="A1" s="1"/>
      <c r="B1" s="2"/>
      <c r="C1" s="125" t="s">
        <v>681</v>
      </c>
      <c r="D1" s="126"/>
      <c r="E1" s="126"/>
      <c r="F1" s="126"/>
      <c r="G1" s="126"/>
      <c r="H1" s="126"/>
      <c r="I1" s="126"/>
      <c r="J1" s="127"/>
    </row>
    <row r="2" spans="1:10">
      <c r="A2" s="4"/>
      <c r="C2" s="128"/>
      <c r="D2" s="128"/>
      <c r="E2" s="128"/>
      <c r="F2" s="128"/>
      <c r="G2" s="128"/>
      <c r="H2" s="128"/>
      <c r="I2" s="128"/>
      <c r="J2" s="12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682</v>
      </c>
      <c r="D5" s="17">
        <v>1</v>
      </c>
      <c r="E5" s="6"/>
      <c r="F5" s="6"/>
      <c r="G5" s="6"/>
      <c r="H5" s="6"/>
      <c r="I5" s="6"/>
      <c r="J5" s="7"/>
    </row>
    <row r="6" spans="1:10">
      <c r="A6" s="5"/>
      <c r="B6" s="6"/>
      <c r="C6" s="9"/>
      <c r="D6" s="16"/>
      <c r="E6" s="6"/>
      <c r="F6" s="6"/>
      <c r="G6" s="6"/>
      <c r="H6" s="6"/>
      <c r="I6" s="6"/>
      <c r="J6" s="7"/>
    </row>
    <row r="7" spans="1:10" ht="16" customHeight="1">
      <c r="A7" s="5"/>
      <c r="B7" s="6"/>
      <c r="C7" s="8" t="s">
        <v>683</v>
      </c>
      <c r="D7" s="16" t="s">
        <v>684</v>
      </c>
      <c r="E7" s="6"/>
      <c r="F7" s="10" t="s">
        <v>685</v>
      </c>
      <c r="G7" s="18">
        <v>44172</v>
      </c>
      <c r="H7" s="11"/>
      <c r="I7" s="6"/>
      <c r="J7" s="7"/>
    </row>
    <row r="8" spans="1:10">
      <c r="A8" s="5"/>
      <c r="B8" s="6"/>
      <c r="C8" s="9"/>
      <c r="D8" s="16"/>
      <c r="E8" s="6"/>
      <c r="F8" s="9"/>
      <c r="G8" s="19"/>
      <c r="H8" s="6"/>
      <c r="I8" s="6"/>
      <c r="J8" s="7"/>
    </row>
    <row r="9" spans="1:10" ht="16" customHeight="1">
      <c r="A9" s="5"/>
      <c r="B9" s="6"/>
      <c r="C9" s="8" t="s">
        <v>686</v>
      </c>
      <c r="D9" s="16" t="s">
        <v>687</v>
      </c>
      <c r="E9" s="6"/>
      <c r="F9" s="10" t="s">
        <v>685</v>
      </c>
      <c r="G9" s="18">
        <v>44140</v>
      </c>
      <c r="H9" s="11"/>
      <c r="I9" s="6"/>
      <c r="J9" s="7"/>
    </row>
    <row r="10" spans="1:10">
      <c r="A10" s="5"/>
      <c r="B10" s="6"/>
      <c r="C10" s="9"/>
      <c r="D10" s="16"/>
      <c r="E10" s="6"/>
      <c r="F10" s="9"/>
      <c r="G10" s="19"/>
      <c r="H10" s="6"/>
      <c r="I10" s="6"/>
      <c r="J10" s="7"/>
    </row>
    <row r="11" spans="1:10" ht="16" customHeight="1">
      <c r="A11" s="5"/>
      <c r="B11" s="6"/>
      <c r="C11" s="8" t="s">
        <v>688</v>
      </c>
      <c r="D11" s="16" t="s">
        <v>689</v>
      </c>
      <c r="E11" s="6"/>
      <c r="F11" s="10" t="s">
        <v>685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1" width="9" style="3" customWidth="1"/>
    <col min="12" max="16384" width="9" style="3"/>
  </cols>
  <sheetData>
    <row r="1" spans="1:10">
      <c r="A1" s="1"/>
      <c r="B1" s="2"/>
      <c r="C1" s="125" t="s">
        <v>681</v>
      </c>
      <c r="D1" s="126"/>
      <c r="E1" s="126"/>
      <c r="F1" s="126"/>
      <c r="G1" s="126"/>
      <c r="H1" s="126"/>
      <c r="I1" s="126"/>
      <c r="J1" s="127"/>
    </row>
    <row r="2" spans="1:10">
      <c r="A2" s="4"/>
      <c r="C2" s="128"/>
      <c r="D2" s="128"/>
      <c r="E2" s="128"/>
      <c r="F2" s="128"/>
      <c r="G2" s="128"/>
      <c r="H2" s="128"/>
      <c r="I2" s="128"/>
      <c r="J2" s="129"/>
    </row>
    <row r="3" spans="1:10" ht="16" customHeight="1">
      <c r="A3" s="137" t="s">
        <v>690</v>
      </c>
      <c r="B3" s="128"/>
      <c r="C3" s="136" t="s">
        <v>691</v>
      </c>
      <c r="D3" s="128"/>
      <c r="E3" s="136" t="s">
        <v>692</v>
      </c>
      <c r="F3" s="128"/>
      <c r="G3" s="136" t="s">
        <v>693</v>
      </c>
      <c r="H3" s="128"/>
      <c r="I3" s="138" t="s">
        <v>694</v>
      </c>
      <c r="J3" s="129"/>
    </row>
    <row r="4" spans="1:10" ht="15">
      <c r="A4" s="139">
        <v>1</v>
      </c>
      <c r="B4" s="140"/>
      <c r="C4" s="141" t="s">
        <v>689</v>
      </c>
      <c r="D4" s="140"/>
      <c r="E4" s="142">
        <v>44265</v>
      </c>
      <c r="F4" s="140"/>
      <c r="G4" s="141" t="s">
        <v>684</v>
      </c>
      <c r="H4" s="140"/>
      <c r="I4" s="141" t="s">
        <v>695</v>
      </c>
      <c r="J4" s="140"/>
    </row>
    <row r="5" spans="1:10" ht="15">
      <c r="A5" s="135"/>
      <c r="B5" s="133"/>
      <c r="C5" s="132"/>
      <c r="D5" s="133"/>
      <c r="E5" s="132"/>
      <c r="F5" s="133"/>
      <c r="G5" s="132"/>
      <c r="H5" s="133"/>
      <c r="I5" s="132"/>
      <c r="J5" s="133"/>
    </row>
    <row r="6" spans="1:10" ht="15">
      <c r="A6" s="135"/>
      <c r="B6" s="133"/>
      <c r="C6" s="132"/>
      <c r="D6" s="133"/>
      <c r="E6" s="132"/>
      <c r="F6" s="133"/>
      <c r="G6" s="132"/>
      <c r="H6" s="133"/>
      <c r="I6" s="132"/>
      <c r="J6" s="133"/>
    </row>
    <row r="7" spans="1:10" ht="15">
      <c r="A7" s="135"/>
      <c r="B7" s="133"/>
      <c r="C7" s="132"/>
      <c r="D7" s="133"/>
      <c r="E7" s="132"/>
      <c r="F7" s="133"/>
      <c r="G7" s="132"/>
      <c r="H7" s="133"/>
      <c r="I7" s="132"/>
      <c r="J7" s="133"/>
    </row>
    <row r="8" spans="1:10" ht="15">
      <c r="A8" s="135"/>
      <c r="B8" s="133"/>
      <c r="C8" s="132"/>
      <c r="D8" s="133"/>
      <c r="E8" s="132"/>
      <c r="F8" s="133"/>
      <c r="G8" s="132"/>
      <c r="H8" s="133"/>
      <c r="I8" s="132"/>
      <c r="J8" s="133"/>
    </row>
    <row r="9" spans="1:10" ht="15">
      <c r="A9" s="135"/>
      <c r="B9" s="133"/>
      <c r="C9" s="132"/>
      <c r="D9" s="133"/>
      <c r="E9" s="132"/>
      <c r="F9" s="133"/>
      <c r="G9" s="132"/>
      <c r="H9" s="133"/>
      <c r="I9" s="132"/>
      <c r="J9" s="133"/>
    </row>
    <row r="10" spans="1:10" ht="15">
      <c r="A10" s="135"/>
      <c r="B10" s="133"/>
      <c r="C10" s="132"/>
      <c r="D10" s="133"/>
      <c r="E10" s="132"/>
      <c r="F10" s="133"/>
      <c r="G10" s="132"/>
      <c r="H10" s="133"/>
      <c r="I10" s="132"/>
      <c r="J10" s="133"/>
    </row>
    <row r="11" spans="1:10" ht="15" customHeight="1" thickBot="1">
      <c r="A11" s="134"/>
      <c r="B11" s="131"/>
      <c r="C11" s="130"/>
      <c r="D11" s="131"/>
      <c r="E11" s="130"/>
      <c r="F11" s="131"/>
      <c r="G11" s="130"/>
      <c r="H11" s="131"/>
      <c r="I11" s="130"/>
      <c r="J11" s="131"/>
    </row>
    <row r="12" spans="1:10">
      <c r="A12" s="15"/>
      <c r="B12" s="15"/>
    </row>
  </sheetData>
  <mergeCells count="46">
    <mergeCell ref="C1:J2"/>
    <mergeCell ref="A10:B10"/>
    <mergeCell ref="A9:B9"/>
    <mergeCell ref="G9:H9"/>
    <mergeCell ref="C3:D3"/>
    <mergeCell ref="I9:J9"/>
    <mergeCell ref="E3:F3"/>
    <mergeCell ref="A3:B3"/>
    <mergeCell ref="G3:H3"/>
    <mergeCell ref="I3:J3"/>
    <mergeCell ref="E6:F6"/>
    <mergeCell ref="A4:B4"/>
    <mergeCell ref="G4:H4"/>
    <mergeCell ref="I4:J4"/>
    <mergeCell ref="C4:D4"/>
    <mergeCell ref="E4:F4"/>
    <mergeCell ref="A5:B5"/>
    <mergeCell ref="G5:H5"/>
    <mergeCell ref="I5:J5"/>
    <mergeCell ref="I8:J8"/>
    <mergeCell ref="A8:B8"/>
    <mergeCell ref="C8:D8"/>
    <mergeCell ref="C7:D7"/>
    <mergeCell ref="A7:B7"/>
    <mergeCell ref="G7:H7"/>
    <mergeCell ref="G6:H6"/>
    <mergeCell ref="C5:D5"/>
    <mergeCell ref="A11:B11"/>
    <mergeCell ref="G11:H11"/>
    <mergeCell ref="A6:B6"/>
    <mergeCell ref="C11:D11"/>
    <mergeCell ref="E11:F11"/>
    <mergeCell ref="C10:D10"/>
    <mergeCell ref="E10:F10"/>
    <mergeCell ref="G10:H10"/>
    <mergeCell ref="C9:D9"/>
    <mergeCell ref="C6:D6"/>
    <mergeCell ref="I11:J11"/>
    <mergeCell ref="E5:F5"/>
    <mergeCell ref="G8:H8"/>
    <mergeCell ref="E8:F8"/>
    <mergeCell ref="I7:J7"/>
    <mergeCell ref="I10:J10"/>
    <mergeCell ref="E9:F9"/>
    <mergeCell ref="E7:F7"/>
    <mergeCell ref="I6:J6"/>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85" zoomScaleNormal="85" workbookViewId="0">
      <selection activeCell="D9" sqref="D9:F9"/>
    </sheetView>
  </sheetViews>
  <sheetFormatPr baseColWidth="10" defaultColWidth="8.83203125" defaultRowHeight="16"/>
  <cols>
    <col min="1" max="2" width="8.83203125" style="54" customWidth="1"/>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9" width="8.83203125" style="41" customWidth="1"/>
    <col min="10" max="16384" width="8.83203125" style="41"/>
  </cols>
  <sheetData>
    <row r="3" spans="1:8" ht="17" customHeight="1" thickBot="1"/>
    <row r="4" spans="1:8">
      <c r="C4" s="147" t="s">
        <v>696</v>
      </c>
      <c r="D4" s="126"/>
      <c r="E4" s="126"/>
      <c r="F4" s="126"/>
      <c r="G4" s="126"/>
      <c r="H4" s="127"/>
    </row>
    <row r="5" spans="1:8">
      <c r="C5" s="148"/>
      <c r="D5" s="149"/>
      <c r="E5" s="149"/>
      <c r="F5" s="149"/>
      <c r="G5" s="149"/>
      <c r="H5" s="129"/>
    </row>
    <row r="6" spans="1:8">
      <c r="C6" s="57" t="s">
        <v>697</v>
      </c>
      <c r="D6" s="164" t="s">
        <v>698</v>
      </c>
      <c r="E6" s="163"/>
      <c r="F6" s="133"/>
      <c r="G6" s="161" t="s">
        <v>699</v>
      </c>
      <c r="H6" s="144"/>
    </row>
    <row r="7" spans="1:8" ht="16.25" customHeight="1">
      <c r="A7" s="58"/>
      <c r="B7" s="58"/>
      <c r="C7" s="59" t="s">
        <v>700</v>
      </c>
      <c r="D7" s="162" t="s">
        <v>701</v>
      </c>
      <c r="E7" s="163"/>
      <c r="F7" s="133"/>
      <c r="G7" s="143">
        <v>45957</v>
      </c>
      <c r="H7" s="144"/>
    </row>
    <row r="8" spans="1:8" ht="16.25" customHeight="1" thickBot="1">
      <c r="A8" s="58"/>
      <c r="B8" s="58"/>
      <c r="C8" s="59" t="s">
        <v>702</v>
      </c>
      <c r="D8" s="158" t="s">
        <v>703</v>
      </c>
      <c r="E8" s="159"/>
      <c r="F8" s="160"/>
      <c r="G8" s="143"/>
      <c r="H8" s="144"/>
    </row>
    <row r="9" spans="1:8" ht="17" customHeight="1" thickBot="1">
      <c r="A9" s="58"/>
      <c r="B9" s="58"/>
      <c r="C9" s="60" t="s">
        <v>704</v>
      </c>
      <c r="D9" s="158"/>
      <c r="E9" s="159"/>
      <c r="F9" s="160"/>
      <c r="G9" s="145"/>
      <c r="H9" s="146"/>
    </row>
    <row r="11" spans="1:8" ht="17" customHeight="1" thickBot="1"/>
    <row r="12" spans="1:8" ht="17" customHeight="1" thickTop="1">
      <c r="C12" s="150" t="s">
        <v>0</v>
      </c>
      <c r="D12" s="151"/>
      <c r="E12" s="151"/>
      <c r="F12" s="151"/>
      <c r="G12" s="151"/>
      <c r="H12" s="152"/>
    </row>
    <row r="13" spans="1:8">
      <c r="C13" s="153"/>
      <c r="D13" s="149"/>
      <c r="E13" s="149"/>
      <c r="F13" s="149"/>
      <c r="G13" s="149"/>
      <c r="H13" s="154"/>
    </row>
    <row r="14" spans="1:8">
      <c r="C14" s="153"/>
      <c r="D14" s="149"/>
      <c r="E14" s="149"/>
      <c r="F14" s="149"/>
      <c r="G14" s="149"/>
      <c r="H14" s="154"/>
    </row>
    <row r="15" spans="1:8">
      <c r="C15" s="153"/>
      <c r="D15" s="149"/>
      <c r="E15" s="149"/>
      <c r="F15" s="149"/>
      <c r="G15" s="149"/>
      <c r="H15" s="154"/>
    </row>
    <row r="16" spans="1:8">
      <c r="C16" s="153"/>
      <c r="D16" s="149"/>
      <c r="E16" s="149"/>
      <c r="F16" s="149"/>
      <c r="G16" s="149"/>
      <c r="H16" s="154"/>
    </row>
    <row r="17" spans="3:8">
      <c r="C17" s="153"/>
      <c r="D17" s="149"/>
      <c r="E17" s="149"/>
      <c r="F17" s="149"/>
      <c r="G17" s="149"/>
      <c r="H17" s="154"/>
    </row>
    <row r="18" spans="3:8">
      <c r="C18" s="153"/>
      <c r="D18" s="149"/>
      <c r="E18" s="149"/>
      <c r="F18" s="149"/>
      <c r="G18" s="149"/>
      <c r="H18" s="154"/>
    </row>
    <row r="19" spans="3:8">
      <c r="C19" s="153"/>
      <c r="D19" s="149"/>
      <c r="E19" s="149"/>
      <c r="F19" s="149"/>
      <c r="G19" s="149"/>
      <c r="H19" s="154"/>
    </row>
    <row r="20" spans="3:8">
      <c r="C20" s="153"/>
      <c r="D20" s="149"/>
      <c r="E20" s="149"/>
      <c r="F20" s="149"/>
      <c r="G20" s="149"/>
      <c r="H20" s="154"/>
    </row>
    <row r="21" spans="3:8">
      <c r="C21" s="153"/>
      <c r="D21" s="149"/>
      <c r="E21" s="149"/>
      <c r="F21" s="149"/>
      <c r="G21" s="149"/>
      <c r="H21" s="154"/>
    </row>
    <row r="22" spans="3:8">
      <c r="C22" s="153"/>
      <c r="D22" s="149"/>
      <c r="E22" s="149"/>
      <c r="F22" s="149"/>
      <c r="G22" s="149"/>
      <c r="H22" s="154"/>
    </row>
    <row r="23" spans="3:8">
      <c r="C23" s="153"/>
      <c r="D23" s="149"/>
      <c r="E23" s="149"/>
      <c r="F23" s="149"/>
      <c r="G23" s="149"/>
      <c r="H23" s="154"/>
    </row>
    <row r="24" spans="3:8">
      <c r="C24" s="153"/>
      <c r="D24" s="149"/>
      <c r="E24" s="149"/>
      <c r="F24" s="149"/>
      <c r="G24" s="149"/>
      <c r="H24" s="154"/>
    </row>
    <row r="25" spans="3:8">
      <c r="C25" s="153"/>
      <c r="D25" s="149"/>
      <c r="E25" s="149"/>
      <c r="F25" s="149"/>
      <c r="G25" s="149"/>
      <c r="H25" s="154"/>
    </row>
    <row r="26" spans="3:8">
      <c r="C26" s="153"/>
      <c r="D26" s="149"/>
      <c r="E26" s="149"/>
      <c r="F26" s="149"/>
      <c r="G26" s="149"/>
      <c r="H26" s="154"/>
    </row>
    <row r="27" spans="3:8">
      <c r="C27" s="153"/>
      <c r="D27" s="149"/>
      <c r="E27" s="149"/>
      <c r="F27" s="149"/>
      <c r="G27" s="149"/>
      <c r="H27" s="154"/>
    </row>
    <row r="28" spans="3:8">
      <c r="C28" s="153"/>
      <c r="D28" s="149"/>
      <c r="E28" s="149"/>
      <c r="F28" s="149"/>
      <c r="G28" s="149"/>
      <c r="H28" s="154"/>
    </row>
    <row r="29" spans="3:8" ht="17" customHeight="1" thickBot="1">
      <c r="C29" s="155"/>
      <c r="D29" s="156"/>
      <c r="E29" s="156"/>
      <c r="F29" s="156"/>
      <c r="G29" s="156"/>
      <c r="H29" s="157"/>
    </row>
    <row r="30" spans="3:8" ht="17" customHeight="1" thickTop="1">
      <c r="H30" s="56" t="s">
        <v>8</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6" width="8.83203125" style="41" customWidth="1"/>
    <col min="7" max="16384" width="8.83203125" style="41"/>
  </cols>
  <sheetData>
    <row r="1" spans="1:5">
      <c r="A1" s="165" t="s">
        <v>705</v>
      </c>
      <c r="B1" s="126"/>
      <c r="C1" s="126"/>
      <c r="D1" s="126"/>
      <c r="E1" s="127"/>
    </row>
    <row r="2" spans="1:5">
      <c r="A2" s="148"/>
      <c r="B2" s="149"/>
      <c r="C2" s="149"/>
      <c r="D2" s="166"/>
      <c r="E2" s="129"/>
    </row>
    <row r="3" spans="1:5" ht="17" customHeight="1" thickBot="1">
      <c r="A3" s="167"/>
      <c r="B3" s="168"/>
      <c r="C3" s="168"/>
      <c r="D3" s="168"/>
      <c r="E3" s="169"/>
    </row>
    <row r="4" spans="1:5">
      <c r="A4" s="42" t="s">
        <v>706</v>
      </c>
      <c r="B4" s="43" t="s">
        <v>707</v>
      </c>
      <c r="C4" s="43" t="s">
        <v>708</v>
      </c>
      <c r="D4" s="44" t="s">
        <v>709</v>
      </c>
      <c r="E4" s="45" t="s">
        <v>700</v>
      </c>
    </row>
    <row r="5" spans="1:5" ht="409.5" customHeight="1">
      <c r="A5" s="33" t="s">
        <v>710</v>
      </c>
      <c r="B5" s="40" t="s">
        <v>711</v>
      </c>
      <c r="C5" s="36" t="s">
        <v>712</v>
      </c>
      <c r="D5" s="34">
        <v>45950</v>
      </c>
      <c r="E5" s="46" t="s">
        <v>713</v>
      </c>
    </row>
    <row r="6" spans="1:5" ht="105" customHeight="1">
      <c r="A6" s="35" t="s">
        <v>714</v>
      </c>
      <c r="B6" s="72" t="s">
        <v>715</v>
      </c>
      <c r="C6" s="36" t="s">
        <v>712</v>
      </c>
      <c r="D6" s="34">
        <v>45999</v>
      </c>
      <c r="E6" s="46" t="s">
        <v>713</v>
      </c>
    </row>
    <row r="7" spans="1:5" ht="93" customHeight="1">
      <c r="A7" s="35" t="s">
        <v>698</v>
      </c>
      <c r="B7" s="72" t="s">
        <v>716</v>
      </c>
      <c r="C7" s="36" t="s">
        <v>712</v>
      </c>
      <c r="D7" s="34">
        <v>46043</v>
      </c>
      <c r="E7" s="46" t="s">
        <v>713</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customHeight="1" thickBot="1">
      <c r="A15" s="51"/>
      <c r="B15" s="51"/>
      <c r="C15" s="51"/>
      <c r="D15" s="52"/>
      <c r="E15" s="53"/>
    </row>
    <row r="16" spans="1:5">
      <c r="E16" s="56" t="s">
        <v>8</v>
      </c>
    </row>
    <row r="17" spans="5:5">
      <c r="E17" s="56"/>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zoomScaleNormal="100" workbookViewId="0">
      <selection activeCell="G9" sqref="G9"/>
    </sheetView>
  </sheetViews>
  <sheetFormatPr baseColWidth="10" defaultColWidth="8.83203125" defaultRowHeight="16"/>
  <cols>
    <col min="1" max="1" width="18.5" style="61" customWidth="1"/>
    <col min="2" max="2" width="44" style="61" customWidth="1"/>
    <col min="3" max="3" width="18.6640625" style="61" customWidth="1"/>
    <col min="4" max="4" width="17" style="61" customWidth="1"/>
    <col min="5" max="5" width="8.83203125" style="61" customWidth="1"/>
    <col min="6" max="16384" width="8.83203125" style="61"/>
  </cols>
  <sheetData>
    <row r="1" spans="1:8" ht="38" customHeight="1">
      <c r="A1" s="170" t="s">
        <v>717</v>
      </c>
      <c r="B1" s="171"/>
      <c r="C1" s="171"/>
      <c r="D1" s="171"/>
      <c r="E1" s="170"/>
      <c r="F1" s="171"/>
      <c r="G1" s="171"/>
      <c r="H1" s="171"/>
    </row>
    <row r="2" spans="1:8" ht="18" customHeight="1">
      <c r="B2" s="62"/>
      <c r="C2" s="62"/>
      <c r="D2" s="63" t="s">
        <v>8</v>
      </c>
      <c r="E2" s="64"/>
      <c r="F2" s="64"/>
      <c r="G2" s="64"/>
      <c r="H2" s="64"/>
    </row>
    <row r="3" spans="1:8" ht="33" customHeight="1">
      <c r="A3" s="65" t="s">
        <v>718</v>
      </c>
      <c r="B3" s="173" t="s">
        <v>2</v>
      </c>
      <c r="C3" s="163"/>
      <c r="D3" s="133"/>
      <c r="E3" s="66"/>
      <c r="F3" s="66"/>
      <c r="G3" s="66"/>
      <c r="H3" s="66"/>
    </row>
    <row r="4" spans="1:8" ht="33" customHeight="1">
      <c r="A4" s="65" t="s">
        <v>719</v>
      </c>
      <c r="B4" s="172"/>
      <c r="C4" s="163"/>
      <c r="D4" s="133"/>
    </row>
    <row r="5" spans="1:8" ht="33" customHeight="1">
      <c r="A5" s="65" t="s">
        <v>720</v>
      </c>
      <c r="B5" s="172" t="s">
        <v>721</v>
      </c>
      <c r="C5" s="163"/>
      <c r="D5" s="133"/>
    </row>
    <row r="6" spans="1:8" ht="33" customHeight="1">
      <c r="A6" s="65" t="s">
        <v>722</v>
      </c>
      <c r="B6" s="173" t="s">
        <v>723</v>
      </c>
      <c r="C6" s="163"/>
      <c r="D6" s="133"/>
    </row>
    <row r="7" spans="1:8" ht="33" customHeight="1">
      <c r="A7" s="65" t="s">
        <v>724</v>
      </c>
      <c r="B7" s="172" t="s">
        <v>725</v>
      </c>
      <c r="C7" s="163"/>
      <c r="D7" s="133"/>
    </row>
    <row r="8" spans="1:8" ht="33" customHeight="1">
      <c r="A8" s="65" t="s">
        <v>726</v>
      </c>
      <c r="B8" s="172"/>
      <c r="C8" s="163"/>
      <c r="D8" s="133"/>
    </row>
    <row r="11" spans="1:8" ht="38.5" customHeight="1">
      <c r="A11" s="170" t="s">
        <v>727</v>
      </c>
      <c r="B11" s="171"/>
      <c r="C11" s="171"/>
      <c r="D11" s="171"/>
    </row>
    <row r="12" spans="1:8" ht="17" customHeight="1">
      <c r="A12" s="71" t="s">
        <v>728</v>
      </c>
      <c r="B12" s="67" t="s">
        <v>729</v>
      </c>
      <c r="C12" s="68" t="s">
        <v>730</v>
      </c>
      <c r="D12" s="68" t="s">
        <v>731</v>
      </c>
    </row>
    <row r="13" spans="1:8">
      <c r="A13" s="73">
        <v>1</v>
      </c>
      <c r="B13" s="74" t="s">
        <v>732</v>
      </c>
      <c r="C13" s="75"/>
      <c r="D13" s="76">
        <v>46083</v>
      </c>
    </row>
    <row r="14" spans="1:8">
      <c r="A14" s="65"/>
      <c r="B14" s="68"/>
      <c r="C14" s="68"/>
      <c r="D14" s="68"/>
    </row>
    <row r="15" spans="1:8">
      <c r="A15" s="65"/>
      <c r="B15" s="69"/>
      <c r="C15" s="70"/>
      <c r="D15" s="68"/>
    </row>
    <row r="16" spans="1:8">
      <c r="A16" s="65"/>
      <c r="B16" s="69"/>
      <c r="C16" s="70"/>
      <c r="D16" s="68"/>
    </row>
  </sheetData>
  <mergeCells count="9">
    <mergeCell ref="E1:H1"/>
    <mergeCell ref="A11:D11"/>
    <mergeCell ref="B7:D7"/>
    <mergeCell ref="B6:D6"/>
    <mergeCell ref="A1:D1"/>
    <mergeCell ref="B3:D3"/>
    <mergeCell ref="B5:D5"/>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54"/>
  <sheetViews>
    <sheetView showGridLines="0" tabSelected="1" zoomScale="120" zoomScaleNormal="120" workbookViewId="0">
      <pane xSplit="4" ySplit="9" topLeftCell="E152" activePane="bottomRight" state="frozen"/>
      <selection pane="topRight" activeCell="E1" sqref="E1"/>
      <selection pane="bottomLeft" activeCell="A10" sqref="A10"/>
      <selection pane="bottomRight" activeCell="R2" sqref="R2"/>
    </sheetView>
  </sheetViews>
  <sheetFormatPr baseColWidth="10" defaultColWidth="9" defaultRowHeight="13" outlineLevelCol="1"/>
  <cols>
    <col min="1" max="1" width="2.83203125" style="91" customWidth="1"/>
    <col min="2" max="2" width="8.83203125" style="91" bestFit="1" customWidth="1"/>
    <col min="3" max="3" width="24.5" style="91" bestFit="1" customWidth="1"/>
    <col min="4" max="4" width="26.83203125" style="108" customWidth="1"/>
    <col min="5" max="5" width="22.1640625" style="91" customWidth="1"/>
    <col min="6" max="6" width="19.83203125" style="108" bestFit="1" customWidth="1"/>
    <col min="7" max="7" width="14.5" style="92" bestFit="1" customWidth="1"/>
    <col min="8" max="8" width="21.33203125" style="91" customWidth="1"/>
    <col min="9" max="9" width="62.5" style="91" customWidth="1"/>
    <col min="10" max="10" width="47.1640625" style="115" customWidth="1"/>
    <col min="11" max="11" width="13.83203125" style="91" bestFit="1" customWidth="1"/>
    <col min="12" max="12" width="47.1640625" style="78" customWidth="1"/>
    <col min="13" max="13" width="47.1640625" style="79" customWidth="1"/>
    <col min="14" max="14" width="37" style="91" customWidth="1"/>
    <col min="15" max="15" width="15.5" style="91" bestFit="1" customWidth="1"/>
    <col min="16" max="16" width="16.6640625" style="91" customWidth="1"/>
    <col min="17" max="17" width="16.1640625" style="91" customWidth="1"/>
    <col min="18" max="18" width="19.1640625" style="91" customWidth="1"/>
    <col min="19" max="19" width="14.33203125" style="91" customWidth="1"/>
    <col min="20" max="20" width="12.33203125" style="91" customWidth="1" outlineLevel="1"/>
    <col min="21" max="21" width="10.5" style="91" customWidth="1" outlineLevel="1"/>
    <col min="22" max="22" width="19.83203125" style="91" customWidth="1" outlineLevel="1"/>
    <col min="23" max="23" width="15.6640625" style="91" customWidth="1" outlineLevel="1"/>
    <col min="24" max="24" width="14.33203125" style="109" customWidth="1" outlineLevel="1"/>
    <col min="25" max="25" width="14.6640625" style="91" customWidth="1" outlineLevel="1"/>
    <col min="26" max="26" width="11.83203125" style="91" customWidth="1" outlineLevel="1"/>
    <col min="27" max="27" width="13.1640625" style="91" bestFit="1" customWidth="1"/>
    <col min="28" max="28" width="9.6640625" style="91" bestFit="1" customWidth="1"/>
    <col min="29" max="29" width="15.33203125" style="91" bestFit="1" customWidth="1"/>
    <col min="30" max="30" width="15.33203125" style="91" customWidth="1"/>
    <col min="31" max="31" width="10.83203125" style="91" bestFit="1" customWidth="1"/>
    <col min="32" max="32" width="14.5" style="91" bestFit="1" customWidth="1"/>
    <col min="33" max="33" width="10.83203125" style="91" bestFit="1" customWidth="1"/>
    <col min="34" max="34" width="11.83203125" style="91" bestFit="1" customWidth="1"/>
    <col min="35" max="35" width="9" style="91" customWidth="1"/>
    <col min="36" max="16384" width="9" style="91"/>
  </cols>
  <sheetData>
    <row r="1" spans="1:34" s="78" customFormat="1" ht="52" customHeight="1">
      <c r="A1" s="117" t="s">
        <v>0</v>
      </c>
      <c r="B1" s="118"/>
      <c r="C1" s="118"/>
      <c r="D1" s="118"/>
      <c r="E1" s="118"/>
      <c r="F1" s="118"/>
      <c r="G1" s="118"/>
      <c r="H1" s="118"/>
      <c r="I1" s="118"/>
      <c r="J1" s="118"/>
      <c r="K1" s="118"/>
      <c r="L1" s="118"/>
      <c r="M1" s="119"/>
      <c r="N1" s="119"/>
      <c r="O1" s="118"/>
      <c r="P1" s="118"/>
      <c r="Q1" s="118"/>
      <c r="R1" s="118"/>
      <c r="S1" s="118"/>
      <c r="T1" s="118"/>
      <c r="U1" s="118"/>
      <c r="V1" s="118"/>
      <c r="W1" s="118"/>
      <c r="X1" s="118"/>
      <c r="Y1" s="118"/>
      <c r="Z1" s="118"/>
      <c r="AA1" s="118"/>
      <c r="AB1" s="118"/>
      <c r="AC1" s="118"/>
      <c r="AD1" s="118"/>
      <c r="AE1" s="118"/>
      <c r="AF1" s="79"/>
      <c r="AG1" s="79"/>
      <c r="AH1" s="79"/>
    </row>
    <row r="2" spans="1:34" s="78" customFormat="1" ht="14" customHeight="1">
      <c r="B2" s="80"/>
      <c r="C2" s="80" t="s">
        <v>1</v>
      </c>
      <c r="D2" s="81" t="s">
        <v>2</v>
      </c>
      <c r="E2" s="82"/>
      <c r="F2" s="83"/>
      <c r="G2" s="83"/>
      <c r="H2" s="84"/>
      <c r="I2" s="85"/>
      <c r="M2" s="79"/>
      <c r="N2" s="79"/>
    </row>
    <row r="3" spans="1:34" s="78" customFormat="1" ht="14" customHeight="1">
      <c r="B3" s="80"/>
      <c r="C3" s="80" t="s">
        <v>3</v>
      </c>
      <c r="D3" s="81"/>
      <c r="E3" s="82"/>
      <c r="F3" s="83"/>
      <c r="G3" s="83"/>
      <c r="H3" s="84"/>
      <c r="I3" s="85"/>
      <c r="M3" s="82"/>
      <c r="N3" s="82"/>
      <c r="O3" s="80"/>
      <c r="P3" s="84"/>
      <c r="Q3" s="84"/>
      <c r="R3" s="84"/>
      <c r="S3" s="84"/>
      <c r="T3" s="84"/>
      <c r="U3" s="84"/>
      <c r="V3" s="84"/>
      <c r="W3" s="84"/>
    </row>
    <row r="4" spans="1:34" s="78" customFormat="1" ht="14" customHeight="1">
      <c r="B4" s="80"/>
      <c r="C4" s="80" t="s">
        <v>4</v>
      </c>
      <c r="D4" s="81"/>
      <c r="E4" s="82"/>
      <c r="F4" s="83"/>
      <c r="G4" s="83"/>
      <c r="H4" s="86"/>
      <c r="I4" s="86"/>
      <c r="J4" s="111"/>
      <c r="K4" s="86"/>
      <c r="L4" s="111"/>
      <c r="M4" s="86"/>
      <c r="N4" s="86"/>
      <c r="O4" s="86"/>
      <c r="P4" s="86"/>
      <c r="Q4" s="86"/>
      <c r="R4" s="86"/>
      <c r="S4" s="86"/>
      <c r="T4" s="86"/>
      <c r="U4" s="86"/>
      <c r="V4" s="86"/>
      <c r="W4" s="86"/>
      <c r="X4" s="86"/>
      <c r="Y4" s="86"/>
      <c r="Z4" s="86"/>
    </row>
    <row r="5" spans="1:34" s="78" customFormat="1" ht="14" customHeight="1">
      <c r="B5" s="87"/>
      <c r="C5" s="87" t="s">
        <v>5</v>
      </c>
      <c r="D5" s="88"/>
      <c r="E5" s="82"/>
      <c r="F5" s="83"/>
      <c r="G5" s="83"/>
      <c r="H5" s="86"/>
      <c r="I5" s="80" t="s">
        <v>6</v>
      </c>
      <c r="J5" s="89" t="s">
        <v>7</v>
      </c>
      <c r="K5" s="86"/>
      <c r="L5" s="111"/>
      <c r="M5" s="86"/>
      <c r="N5" s="86"/>
      <c r="O5" s="86"/>
      <c r="P5" s="86"/>
      <c r="Q5" s="86"/>
      <c r="R5" s="86"/>
      <c r="S5" s="86"/>
      <c r="T5" s="86"/>
      <c r="U5" s="86"/>
      <c r="V5" s="86"/>
      <c r="W5" s="86"/>
      <c r="X5" s="86"/>
      <c r="Y5" s="86"/>
      <c r="Z5" s="86"/>
      <c r="AH5" s="90" t="s">
        <v>8</v>
      </c>
    </row>
    <row r="7" spans="1:34">
      <c r="B7" s="120" t="s">
        <v>9</v>
      </c>
      <c r="C7" s="121"/>
      <c r="D7" s="121"/>
      <c r="E7" s="121"/>
      <c r="F7" s="121"/>
      <c r="G7" s="121"/>
      <c r="H7" s="121"/>
      <c r="I7" s="121"/>
      <c r="J7" s="122"/>
      <c r="K7" s="121"/>
      <c r="L7" s="122"/>
      <c r="M7" s="121"/>
      <c r="N7" s="121"/>
      <c r="O7" s="121"/>
      <c r="P7" s="121"/>
      <c r="Q7" s="121"/>
      <c r="R7" s="121"/>
      <c r="S7" s="121"/>
      <c r="T7" s="121"/>
      <c r="U7" s="121"/>
      <c r="V7" s="121"/>
      <c r="W7" s="121"/>
      <c r="X7" s="121"/>
      <c r="Y7" s="121"/>
      <c r="Z7" s="121"/>
      <c r="AA7" s="123"/>
      <c r="AB7" s="120" t="s">
        <v>10</v>
      </c>
      <c r="AC7" s="121"/>
      <c r="AD7" s="121"/>
      <c r="AE7" s="121"/>
      <c r="AF7" s="121"/>
      <c r="AG7" s="121"/>
      <c r="AH7" s="123"/>
    </row>
    <row r="8" spans="1:34" s="92" customFormat="1" ht="28" customHeight="1">
      <c r="B8" s="93"/>
      <c r="C8" s="94"/>
      <c r="D8" s="94"/>
      <c r="E8" s="94"/>
      <c r="F8" s="94"/>
      <c r="G8" s="94"/>
      <c r="H8" s="94"/>
      <c r="I8" s="95"/>
      <c r="J8" s="112" t="s">
        <v>11</v>
      </c>
      <c r="K8" s="94" t="s">
        <v>11</v>
      </c>
      <c r="L8" s="112"/>
      <c r="M8" s="95"/>
      <c r="N8" s="95"/>
      <c r="O8" s="96"/>
      <c r="P8" s="97"/>
      <c r="Q8" s="97"/>
      <c r="R8" s="94"/>
      <c r="S8" s="94"/>
      <c r="T8" s="124" t="s">
        <v>12</v>
      </c>
      <c r="U8" s="121"/>
      <c r="V8" s="121"/>
      <c r="W8" s="121"/>
      <c r="X8" s="121"/>
      <c r="Y8" s="121"/>
      <c r="Z8" s="123"/>
      <c r="AA8" s="94" t="s">
        <v>11</v>
      </c>
      <c r="AB8" s="94"/>
      <c r="AC8" s="94"/>
      <c r="AD8" s="94"/>
      <c r="AE8" s="94"/>
      <c r="AF8" s="97"/>
      <c r="AG8" s="97"/>
      <c r="AH8" s="94"/>
    </row>
    <row r="9" spans="1:34" s="98" customFormat="1" ht="56" customHeight="1">
      <c r="B9" s="99" t="s">
        <v>13</v>
      </c>
      <c r="C9" s="97" t="s">
        <v>14</v>
      </c>
      <c r="D9" s="97" t="s">
        <v>776</v>
      </c>
      <c r="E9" s="97" t="s">
        <v>15</v>
      </c>
      <c r="F9" s="97" t="s">
        <v>16</v>
      </c>
      <c r="G9" s="97" t="s">
        <v>17</v>
      </c>
      <c r="H9" s="97" t="s">
        <v>18</v>
      </c>
      <c r="I9" s="97" t="s">
        <v>19</v>
      </c>
      <c r="J9" s="97" t="s">
        <v>20</v>
      </c>
      <c r="K9" s="97" t="s">
        <v>21</v>
      </c>
      <c r="L9" s="97" t="s">
        <v>22</v>
      </c>
      <c r="M9" s="97" t="s">
        <v>23</v>
      </c>
      <c r="N9" s="97" t="s">
        <v>24</v>
      </c>
      <c r="O9" s="100" t="s">
        <v>25</v>
      </c>
      <c r="P9" s="97" t="s">
        <v>26</v>
      </c>
      <c r="Q9" s="101" t="s">
        <v>27</v>
      </c>
      <c r="R9" s="97" t="s">
        <v>28</v>
      </c>
      <c r="S9" s="97" t="s">
        <v>29</v>
      </c>
      <c r="T9" s="94" t="s">
        <v>30</v>
      </c>
      <c r="U9" s="94" t="s">
        <v>31</v>
      </c>
      <c r="V9" s="94" t="s">
        <v>32</v>
      </c>
      <c r="W9" s="94" t="s">
        <v>33</v>
      </c>
      <c r="X9" s="94" t="s">
        <v>34</v>
      </c>
      <c r="Y9" s="94" t="s">
        <v>35</v>
      </c>
      <c r="Z9" s="94" t="s">
        <v>36</v>
      </c>
      <c r="AA9" s="97" t="s">
        <v>37</v>
      </c>
      <c r="AB9" s="97" t="s">
        <v>38</v>
      </c>
      <c r="AC9" s="97" t="s">
        <v>39</v>
      </c>
      <c r="AD9" s="97" t="s">
        <v>40</v>
      </c>
      <c r="AE9" s="97" t="s">
        <v>41</v>
      </c>
      <c r="AF9" s="97" t="s">
        <v>10</v>
      </c>
      <c r="AG9" s="97" t="s">
        <v>42</v>
      </c>
      <c r="AH9" s="97" t="s">
        <v>43</v>
      </c>
    </row>
    <row r="10" spans="1:34" s="77" customFormat="1" ht="136" customHeight="1">
      <c r="A10" s="83"/>
      <c r="B10" s="102">
        <f t="shared" ref="B10:B46" si="0">IF(ISBLANK($D10),"",ROW()-9)</f>
        <v>1</v>
      </c>
      <c r="C10" s="103" t="s">
        <v>44</v>
      </c>
      <c r="D10" s="104" t="s">
        <v>45</v>
      </c>
      <c r="E10" s="102"/>
      <c r="F10" s="102"/>
      <c r="G10" s="102" t="s">
        <v>771</v>
      </c>
      <c r="H10" s="102" t="s">
        <v>770</v>
      </c>
      <c r="I10" s="105" t="s">
        <v>772</v>
      </c>
      <c r="J10" s="106" t="s">
        <v>47</v>
      </c>
      <c r="K10" s="102" t="s">
        <v>48</v>
      </c>
      <c r="L10" s="113" t="s">
        <v>49</v>
      </c>
      <c r="M10" s="106"/>
      <c r="N10" s="102" t="s">
        <v>50</v>
      </c>
      <c r="O10" s="102"/>
      <c r="P10" s="102"/>
      <c r="Q10" s="102"/>
      <c r="R10" s="102"/>
      <c r="S10" s="102" t="s">
        <v>48</v>
      </c>
      <c r="T10" s="102">
        <v>1</v>
      </c>
      <c r="U10" s="102">
        <v>1</v>
      </c>
      <c r="V10" s="102">
        <v>1</v>
      </c>
      <c r="W10" s="102">
        <v>1</v>
      </c>
      <c r="X10" s="102">
        <v>1</v>
      </c>
      <c r="Y10" s="102">
        <v>1</v>
      </c>
      <c r="Z10" s="102">
        <v>1</v>
      </c>
      <c r="AA10" s="102"/>
      <c r="AB10" s="102"/>
      <c r="AC10" s="102"/>
      <c r="AD10" s="102"/>
      <c r="AE10" s="102"/>
      <c r="AF10" s="102"/>
      <c r="AG10" s="102"/>
      <c r="AH10" s="102"/>
    </row>
    <row r="11" spans="1:34" s="77" customFormat="1" ht="136" customHeight="1">
      <c r="A11" s="83"/>
      <c r="B11" s="102">
        <f t="shared" si="0"/>
        <v>2</v>
      </c>
      <c r="C11" s="103" t="s">
        <v>51</v>
      </c>
      <c r="D11" s="104" t="s">
        <v>52</v>
      </c>
      <c r="E11" s="102"/>
      <c r="F11" s="102"/>
      <c r="G11" s="102" t="s">
        <v>771</v>
      </c>
      <c r="H11" s="102" t="s">
        <v>53</v>
      </c>
      <c r="I11" s="105" t="s">
        <v>54</v>
      </c>
      <c r="J11" s="106" t="s">
        <v>47</v>
      </c>
      <c r="K11" s="102"/>
      <c r="L11" s="114" t="s">
        <v>55</v>
      </c>
      <c r="M11" s="102"/>
      <c r="N11" s="102" t="s">
        <v>56</v>
      </c>
      <c r="O11" s="102"/>
      <c r="P11" s="102"/>
      <c r="Q11" s="102"/>
      <c r="R11" s="102"/>
      <c r="S11" s="102"/>
      <c r="T11" s="102">
        <v>1</v>
      </c>
      <c r="U11" s="102">
        <v>1</v>
      </c>
      <c r="V11" s="102">
        <v>1</v>
      </c>
      <c r="W11" s="102">
        <v>1</v>
      </c>
      <c r="X11" s="102">
        <v>1</v>
      </c>
      <c r="Y11" s="102">
        <v>1</v>
      </c>
      <c r="Z11" s="102">
        <v>1</v>
      </c>
      <c r="AA11" s="102"/>
      <c r="AB11" s="102"/>
      <c r="AC11" s="102"/>
      <c r="AD11" s="102"/>
      <c r="AE11" s="102"/>
      <c r="AF11" s="102"/>
      <c r="AG11" s="102"/>
      <c r="AH11" s="102"/>
    </row>
    <row r="12" spans="1:34" s="77" customFormat="1" ht="153" customHeight="1">
      <c r="A12" s="83"/>
      <c r="B12" s="102">
        <f t="shared" si="0"/>
        <v>3</v>
      </c>
      <c r="C12" s="103" t="s">
        <v>57</v>
      </c>
      <c r="D12" s="104" t="s">
        <v>58</v>
      </c>
      <c r="E12" s="102"/>
      <c r="F12" s="102"/>
      <c r="G12" s="102" t="s">
        <v>771</v>
      </c>
      <c r="H12" s="102" t="s">
        <v>59</v>
      </c>
      <c r="I12" s="105" t="s">
        <v>775</v>
      </c>
      <c r="J12" s="106" t="s">
        <v>47</v>
      </c>
      <c r="K12" s="102"/>
      <c r="L12" s="114" t="s">
        <v>60</v>
      </c>
      <c r="M12" s="102"/>
      <c r="N12" s="102" t="s">
        <v>61</v>
      </c>
      <c r="O12" s="102"/>
      <c r="P12" s="102"/>
      <c r="Q12" s="106"/>
      <c r="R12" s="102"/>
      <c r="S12" s="102"/>
      <c r="T12" s="102">
        <v>1</v>
      </c>
      <c r="U12" s="102">
        <v>1</v>
      </c>
      <c r="V12" s="102">
        <v>1</v>
      </c>
      <c r="W12" s="102">
        <v>1</v>
      </c>
      <c r="X12" s="102">
        <v>1</v>
      </c>
      <c r="Y12" s="102">
        <v>1</v>
      </c>
      <c r="Z12" s="102">
        <v>1</v>
      </c>
      <c r="AA12" s="106"/>
      <c r="AB12" s="106"/>
      <c r="AC12" s="106"/>
      <c r="AD12" s="106"/>
      <c r="AE12" s="106"/>
      <c r="AF12" s="106"/>
      <c r="AG12" s="106"/>
      <c r="AH12" s="106"/>
    </row>
    <row r="13" spans="1:34" s="77" customFormat="1" ht="153" customHeight="1">
      <c r="A13" s="83"/>
      <c r="B13" s="102">
        <f t="shared" si="0"/>
        <v>4</v>
      </c>
      <c r="C13" s="103" t="s">
        <v>62</v>
      </c>
      <c r="D13" s="104" t="s">
        <v>63</v>
      </c>
      <c r="E13" s="102"/>
      <c r="F13" s="102"/>
      <c r="G13" s="102" t="s">
        <v>771</v>
      </c>
      <c r="H13" s="102" t="s">
        <v>64</v>
      </c>
      <c r="I13" s="105" t="s">
        <v>65</v>
      </c>
      <c r="J13" s="106" t="s">
        <v>47</v>
      </c>
      <c r="K13" s="102"/>
      <c r="L13" s="114" t="s">
        <v>66</v>
      </c>
      <c r="M13" s="102"/>
      <c r="N13" s="102" t="s">
        <v>67</v>
      </c>
      <c r="O13" s="102"/>
      <c r="P13" s="102"/>
      <c r="Q13" s="106"/>
      <c r="R13" s="102"/>
      <c r="S13" s="102"/>
      <c r="T13" s="102">
        <v>1</v>
      </c>
      <c r="U13" s="102">
        <v>1</v>
      </c>
      <c r="V13" s="102">
        <v>1</v>
      </c>
      <c r="W13" s="102">
        <v>1</v>
      </c>
      <c r="X13" s="102">
        <v>1</v>
      </c>
      <c r="Y13" s="102">
        <v>1</v>
      </c>
      <c r="Z13" s="102">
        <v>1</v>
      </c>
      <c r="AA13" s="106"/>
      <c r="AB13" s="106"/>
      <c r="AC13" s="106"/>
      <c r="AD13" s="106"/>
      <c r="AE13" s="106"/>
      <c r="AF13" s="106"/>
      <c r="AG13" s="106"/>
      <c r="AH13" s="106"/>
    </row>
    <row r="14" spans="1:34" s="77" customFormat="1" ht="153" customHeight="1">
      <c r="A14" s="83"/>
      <c r="B14" s="102">
        <f t="shared" si="0"/>
        <v>5</v>
      </c>
      <c r="C14" s="103" t="s">
        <v>68</v>
      </c>
      <c r="D14" s="104" t="s">
        <v>69</v>
      </c>
      <c r="E14" s="102"/>
      <c r="F14" s="102"/>
      <c r="G14" s="102" t="s">
        <v>771</v>
      </c>
      <c r="H14" s="102" t="s">
        <v>70</v>
      </c>
      <c r="I14" s="105" t="s">
        <v>71</v>
      </c>
      <c r="J14" s="106" t="s">
        <v>47</v>
      </c>
      <c r="K14" s="102"/>
      <c r="L14" s="114" t="s">
        <v>72</v>
      </c>
      <c r="M14" s="102"/>
      <c r="N14" s="102" t="s">
        <v>73</v>
      </c>
      <c r="O14" s="102"/>
      <c r="P14" s="102"/>
      <c r="Q14" s="106"/>
      <c r="R14" s="102"/>
      <c r="S14" s="102"/>
      <c r="T14" s="102">
        <v>1</v>
      </c>
      <c r="U14" s="102">
        <v>1</v>
      </c>
      <c r="V14" s="102">
        <v>1</v>
      </c>
      <c r="W14" s="102">
        <v>1</v>
      </c>
      <c r="X14" s="102">
        <v>1</v>
      </c>
      <c r="Y14" s="102">
        <v>1</v>
      </c>
      <c r="Z14" s="102">
        <v>1</v>
      </c>
      <c r="AA14" s="106"/>
      <c r="AB14" s="106"/>
      <c r="AC14" s="106"/>
      <c r="AD14" s="106"/>
      <c r="AE14" s="106"/>
      <c r="AF14" s="106"/>
      <c r="AG14" s="106"/>
      <c r="AH14" s="106"/>
    </row>
    <row r="15" spans="1:34" s="77" customFormat="1" ht="153" customHeight="1">
      <c r="A15" s="83"/>
      <c r="B15" s="102">
        <f t="shared" si="0"/>
        <v>6</v>
      </c>
      <c r="C15" s="103" t="s">
        <v>74</v>
      </c>
      <c r="D15" s="104" t="s">
        <v>75</v>
      </c>
      <c r="E15" s="102"/>
      <c r="F15" s="102"/>
      <c r="G15" s="102" t="s">
        <v>771</v>
      </c>
      <c r="H15" s="102" t="s">
        <v>76</v>
      </c>
      <c r="I15" s="105" t="s">
        <v>77</v>
      </c>
      <c r="J15" s="106" t="s">
        <v>47</v>
      </c>
      <c r="K15" s="102"/>
      <c r="L15" s="114" t="s">
        <v>78</v>
      </c>
      <c r="M15" s="102"/>
      <c r="N15" s="102" t="s">
        <v>79</v>
      </c>
      <c r="O15" s="102"/>
      <c r="P15" s="102"/>
      <c r="Q15" s="106"/>
      <c r="R15" s="102"/>
      <c r="S15" s="102"/>
      <c r="T15" s="102">
        <v>1</v>
      </c>
      <c r="U15" s="102">
        <v>1</v>
      </c>
      <c r="V15" s="102">
        <v>1</v>
      </c>
      <c r="W15" s="102">
        <v>1</v>
      </c>
      <c r="X15" s="102">
        <v>1</v>
      </c>
      <c r="Y15" s="102">
        <v>1</v>
      </c>
      <c r="Z15" s="102">
        <v>1</v>
      </c>
      <c r="AA15" s="106"/>
      <c r="AB15" s="106"/>
      <c r="AC15" s="106"/>
      <c r="AD15" s="106"/>
      <c r="AE15" s="106"/>
      <c r="AF15" s="106"/>
      <c r="AG15" s="106"/>
      <c r="AH15" s="106"/>
    </row>
    <row r="16" spans="1:34" s="77" customFormat="1" ht="119" customHeight="1">
      <c r="A16" s="83"/>
      <c r="B16" s="102">
        <f t="shared" si="0"/>
        <v>7</v>
      </c>
      <c r="C16" s="103" t="s">
        <v>80</v>
      </c>
      <c r="D16" s="104" t="s">
        <v>81</v>
      </c>
      <c r="E16" s="102"/>
      <c r="F16" s="102"/>
      <c r="G16" s="102" t="s">
        <v>771</v>
      </c>
      <c r="H16" s="102" t="s">
        <v>46</v>
      </c>
      <c r="I16" s="105" t="s">
        <v>82</v>
      </c>
      <c r="J16" s="106" t="s">
        <v>47</v>
      </c>
      <c r="K16" s="102"/>
      <c r="L16" s="114" t="s">
        <v>83</v>
      </c>
      <c r="M16" s="102"/>
      <c r="N16" s="102" t="s">
        <v>84</v>
      </c>
      <c r="O16" s="102"/>
      <c r="P16" s="102"/>
      <c r="Q16" s="106"/>
      <c r="R16" s="102"/>
      <c r="S16" s="102"/>
      <c r="T16" s="102">
        <v>1</v>
      </c>
      <c r="U16" s="102">
        <v>1</v>
      </c>
      <c r="V16" s="102">
        <v>1</v>
      </c>
      <c r="W16" s="102">
        <v>1</v>
      </c>
      <c r="X16" s="102">
        <v>1</v>
      </c>
      <c r="Y16" s="102">
        <v>1</v>
      </c>
      <c r="Z16" s="102">
        <v>1</v>
      </c>
      <c r="AA16" s="106"/>
      <c r="AB16" s="106"/>
      <c r="AC16" s="106"/>
      <c r="AD16" s="106"/>
      <c r="AE16" s="106"/>
      <c r="AF16" s="106"/>
      <c r="AG16" s="106"/>
      <c r="AH16" s="106"/>
    </row>
    <row r="17" spans="1:34" s="77" customFormat="1" ht="153" customHeight="1">
      <c r="A17" s="83"/>
      <c r="B17" s="102">
        <f t="shared" si="0"/>
        <v>8</v>
      </c>
      <c r="C17" s="103" t="s">
        <v>85</v>
      </c>
      <c r="D17" s="104" t="s">
        <v>86</v>
      </c>
      <c r="E17" s="102"/>
      <c r="F17" s="102"/>
      <c r="G17" s="102" t="s">
        <v>771</v>
      </c>
      <c r="H17" s="102" t="s">
        <v>59</v>
      </c>
      <c r="I17" s="105" t="s">
        <v>87</v>
      </c>
      <c r="J17" s="106" t="s">
        <v>47</v>
      </c>
      <c r="K17" s="102"/>
      <c r="L17" s="113" t="s">
        <v>88</v>
      </c>
      <c r="M17" s="106"/>
      <c r="N17" s="102" t="s">
        <v>89</v>
      </c>
      <c r="O17" s="102"/>
      <c r="P17" s="102"/>
      <c r="Q17" s="106"/>
      <c r="R17" s="102"/>
      <c r="S17" s="102"/>
      <c r="T17" s="102">
        <v>1</v>
      </c>
      <c r="U17" s="102">
        <v>1</v>
      </c>
      <c r="V17" s="102">
        <v>1</v>
      </c>
      <c r="W17" s="102">
        <v>1</v>
      </c>
      <c r="X17" s="102">
        <v>1</v>
      </c>
      <c r="Y17" s="102">
        <v>1</v>
      </c>
      <c r="Z17" s="102">
        <v>1</v>
      </c>
      <c r="AA17" s="106"/>
      <c r="AB17" s="106"/>
      <c r="AC17" s="106"/>
      <c r="AD17" s="106"/>
      <c r="AE17" s="106"/>
      <c r="AF17" s="106"/>
      <c r="AG17" s="106"/>
      <c r="AH17" s="106"/>
    </row>
    <row r="18" spans="1:34" s="77" customFormat="1" ht="153" customHeight="1">
      <c r="A18" s="83"/>
      <c r="B18" s="102">
        <f t="shared" si="0"/>
        <v>9</v>
      </c>
      <c r="C18" s="103" t="s">
        <v>90</v>
      </c>
      <c r="D18" s="104" t="s">
        <v>91</v>
      </c>
      <c r="E18" s="102"/>
      <c r="F18" s="102"/>
      <c r="G18" s="102" t="s">
        <v>771</v>
      </c>
      <c r="H18" s="102" t="s">
        <v>64</v>
      </c>
      <c r="I18" s="105" t="s">
        <v>92</v>
      </c>
      <c r="J18" s="106" t="s">
        <v>47</v>
      </c>
      <c r="K18" s="102"/>
      <c r="L18" s="113" t="s">
        <v>93</v>
      </c>
      <c r="M18" s="106"/>
      <c r="N18" s="102" t="s">
        <v>94</v>
      </c>
      <c r="O18" s="102"/>
      <c r="P18" s="102"/>
      <c r="Q18" s="106"/>
      <c r="R18" s="102"/>
      <c r="S18" s="102"/>
      <c r="T18" s="102">
        <v>1</v>
      </c>
      <c r="U18" s="102">
        <v>1</v>
      </c>
      <c r="V18" s="102">
        <v>1</v>
      </c>
      <c r="W18" s="102">
        <v>1</v>
      </c>
      <c r="X18" s="102">
        <v>1</v>
      </c>
      <c r="Y18" s="102">
        <v>1</v>
      </c>
      <c r="Z18" s="102">
        <v>1</v>
      </c>
      <c r="AA18" s="106"/>
      <c r="AB18" s="106"/>
      <c r="AC18" s="106"/>
      <c r="AD18" s="106"/>
      <c r="AE18" s="106"/>
      <c r="AF18" s="106"/>
      <c r="AG18" s="106"/>
      <c r="AH18" s="106"/>
    </row>
    <row r="19" spans="1:34" s="77" customFormat="1" ht="153" customHeight="1">
      <c r="A19" s="83"/>
      <c r="B19" s="102">
        <f t="shared" si="0"/>
        <v>10</v>
      </c>
      <c r="C19" s="103" t="s">
        <v>95</v>
      </c>
      <c r="D19" s="104" t="s">
        <v>96</v>
      </c>
      <c r="E19" s="102"/>
      <c r="F19" s="102"/>
      <c r="G19" s="102" t="s">
        <v>771</v>
      </c>
      <c r="H19" s="102" t="s">
        <v>76</v>
      </c>
      <c r="I19" s="105" t="s">
        <v>97</v>
      </c>
      <c r="J19" s="106" t="s">
        <v>47</v>
      </c>
      <c r="K19" s="102"/>
      <c r="L19" s="113" t="s">
        <v>98</v>
      </c>
      <c r="M19" s="106"/>
      <c r="N19" s="102" t="s">
        <v>99</v>
      </c>
      <c r="O19" s="102"/>
      <c r="P19" s="102"/>
      <c r="Q19" s="106"/>
      <c r="R19" s="102"/>
      <c r="S19" s="102"/>
      <c r="T19" s="102">
        <v>1</v>
      </c>
      <c r="U19" s="102">
        <v>1</v>
      </c>
      <c r="V19" s="102">
        <v>1</v>
      </c>
      <c r="W19" s="102">
        <v>1</v>
      </c>
      <c r="X19" s="102">
        <v>1</v>
      </c>
      <c r="Y19" s="102">
        <v>1</v>
      </c>
      <c r="Z19" s="102">
        <v>1</v>
      </c>
      <c r="AA19" s="106"/>
      <c r="AB19" s="106"/>
      <c r="AC19" s="106"/>
      <c r="AD19" s="106"/>
      <c r="AE19" s="106"/>
      <c r="AF19" s="106"/>
      <c r="AG19" s="106"/>
      <c r="AH19" s="106"/>
    </row>
    <row r="20" spans="1:34" s="77" customFormat="1" ht="119" customHeight="1">
      <c r="A20" s="83"/>
      <c r="B20" s="102">
        <f t="shared" si="0"/>
        <v>11</v>
      </c>
      <c r="C20" s="103" t="s">
        <v>100</v>
      </c>
      <c r="D20" s="104" t="s">
        <v>101</v>
      </c>
      <c r="E20" s="102"/>
      <c r="F20" s="102"/>
      <c r="G20" s="102" t="s">
        <v>771</v>
      </c>
      <c r="H20" s="102" t="s">
        <v>102</v>
      </c>
      <c r="I20" s="105" t="s">
        <v>103</v>
      </c>
      <c r="J20" s="106" t="s">
        <v>47</v>
      </c>
      <c r="K20" s="102"/>
      <c r="L20" s="114" t="s">
        <v>104</v>
      </c>
      <c r="M20" s="102"/>
      <c r="N20" s="102" t="s">
        <v>105</v>
      </c>
      <c r="O20" s="102"/>
      <c r="P20" s="102"/>
      <c r="Q20" s="106"/>
      <c r="R20" s="102"/>
      <c r="S20" s="102"/>
      <c r="T20" s="102">
        <v>1</v>
      </c>
      <c r="U20" s="102">
        <v>1</v>
      </c>
      <c r="V20" s="102">
        <v>1</v>
      </c>
      <c r="W20" s="102">
        <v>1</v>
      </c>
      <c r="X20" s="102">
        <v>1</v>
      </c>
      <c r="Y20" s="102">
        <v>1</v>
      </c>
      <c r="Z20" s="102">
        <v>1</v>
      </c>
      <c r="AA20" s="106"/>
      <c r="AB20" s="106"/>
      <c r="AC20" s="106"/>
      <c r="AD20" s="106"/>
      <c r="AE20" s="106"/>
      <c r="AF20" s="106"/>
      <c r="AG20" s="106"/>
      <c r="AH20" s="106"/>
    </row>
    <row r="21" spans="1:34" s="77" customFormat="1" ht="140">
      <c r="A21" s="83"/>
      <c r="B21" s="102">
        <f t="shared" si="0"/>
        <v>12</v>
      </c>
      <c r="C21" s="103" t="s">
        <v>106</v>
      </c>
      <c r="D21" s="104" t="s">
        <v>107</v>
      </c>
      <c r="E21" s="102"/>
      <c r="F21" s="102"/>
      <c r="G21" s="102" t="s">
        <v>771</v>
      </c>
      <c r="H21" s="102" t="s">
        <v>777</v>
      </c>
      <c r="I21" s="107" t="s">
        <v>788</v>
      </c>
      <c r="J21" s="113" t="s">
        <v>778</v>
      </c>
      <c r="K21" s="102" t="s">
        <v>781</v>
      </c>
      <c r="L21" s="114" t="s">
        <v>780</v>
      </c>
      <c r="M21" s="105" t="s">
        <v>786</v>
      </c>
      <c r="N21" s="105" t="s">
        <v>779</v>
      </c>
      <c r="O21" s="106" t="s">
        <v>839</v>
      </c>
      <c r="P21" s="102" t="s">
        <v>783</v>
      </c>
      <c r="Q21" s="106"/>
      <c r="R21" s="102" t="s">
        <v>735</v>
      </c>
      <c r="S21" s="102" t="s">
        <v>781</v>
      </c>
      <c r="T21" s="102">
        <v>1</v>
      </c>
      <c r="U21" s="102">
        <v>1</v>
      </c>
      <c r="V21" s="102">
        <v>1</v>
      </c>
      <c r="W21" s="102">
        <v>1</v>
      </c>
      <c r="X21" s="102">
        <v>1</v>
      </c>
      <c r="Y21" s="102">
        <v>1</v>
      </c>
      <c r="Z21" s="102">
        <v>1</v>
      </c>
      <c r="AA21" s="106" t="s">
        <v>782</v>
      </c>
      <c r="AB21" s="106"/>
      <c r="AC21" s="106"/>
      <c r="AD21" s="106"/>
      <c r="AE21" s="106"/>
      <c r="AF21" s="106"/>
      <c r="AG21" s="106"/>
      <c r="AH21" s="106" t="s">
        <v>774</v>
      </c>
    </row>
    <row r="22" spans="1:34" s="77" customFormat="1" ht="154">
      <c r="A22" s="83"/>
      <c r="B22" s="102">
        <f t="shared" si="0"/>
        <v>13</v>
      </c>
      <c r="C22" s="103" t="s">
        <v>106</v>
      </c>
      <c r="D22" s="104" t="s">
        <v>107</v>
      </c>
      <c r="E22" s="102"/>
      <c r="F22" s="102"/>
      <c r="G22" s="102" t="s">
        <v>771</v>
      </c>
      <c r="H22" s="102" t="s">
        <v>777</v>
      </c>
      <c r="I22" s="107" t="s">
        <v>787</v>
      </c>
      <c r="J22" s="113" t="s">
        <v>784</v>
      </c>
      <c r="K22" s="102" t="s">
        <v>781</v>
      </c>
      <c r="L22" s="114" t="s">
        <v>785</v>
      </c>
      <c r="M22" s="105" t="s">
        <v>786</v>
      </c>
      <c r="N22" s="105" t="s">
        <v>779</v>
      </c>
      <c r="O22" s="106" t="s">
        <v>839</v>
      </c>
      <c r="P22" s="102" t="s">
        <v>783</v>
      </c>
      <c r="Q22" s="106"/>
      <c r="R22" s="102" t="s">
        <v>735</v>
      </c>
      <c r="S22" s="102" t="s">
        <v>781</v>
      </c>
      <c r="T22" s="106" t="s">
        <v>782</v>
      </c>
      <c r="U22" s="102">
        <v>1</v>
      </c>
      <c r="V22" s="102">
        <v>1</v>
      </c>
      <c r="W22" s="102">
        <v>1</v>
      </c>
      <c r="X22" s="102">
        <v>1</v>
      </c>
      <c r="Y22" s="102">
        <v>1</v>
      </c>
      <c r="Z22" s="102">
        <v>1</v>
      </c>
      <c r="AA22" s="106" t="s">
        <v>782</v>
      </c>
      <c r="AB22" s="106"/>
      <c r="AC22" s="106"/>
      <c r="AD22" s="106"/>
      <c r="AE22" s="106"/>
      <c r="AF22" s="106"/>
      <c r="AG22" s="106"/>
      <c r="AH22" s="106" t="s">
        <v>774</v>
      </c>
    </row>
    <row r="23" spans="1:34" s="77" customFormat="1" ht="119" customHeight="1">
      <c r="A23" s="83"/>
      <c r="B23" s="102">
        <f t="shared" si="0"/>
        <v>14</v>
      </c>
      <c r="C23" s="103" t="s">
        <v>108</v>
      </c>
      <c r="D23" s="104" t="s">
        <v>109</v>
      </c>
      <c r="E23" s="102"/>
      <c r="F23" s="102"/>
      <c r="G23" s="102" t="s">
        <v>771</v>
      </c>
      <c r="H23" s="102" t="s">
        <v>102</v>
      </c>
      <c r="I23" s="105" t="s">
        <v>103</v>
      </c>
      <c r="J23" s="106" t="s">
        <v>47</v>
      </c>
      <c r="K23" s="102"/>
      <c r="L23" s="113" t="s">
        <v>110</v>
      </c>
      <c r="M23" s="102"/>
      <c r="N23" s="102" t="s">
        <v>111</v>
      </c>
      <c r="O23" s="102"/>
      <c r="P23" s="102"/>
      <c r="Q23" s="106"/>
      <c r="R23" s="102"/>
      <c r="S23" s="102"/>
      <c r="T23" s="102">
        <v>1</v>
      </c>
      <c r="U23" s="102">
        <v>1</v>
      </c>
      <c r="V23" s="102">
        <v>1</v>
      </c>
      <c r="W23" s="102">
        <v>1</v>
      </c>
      <c r="X23" s="102">
        <v>1</v>
      </c>
      <c r="Y23" s="102">
        <v>1</v>
      </c>
      <c r="Z23" s="102">
        <v>1</v>
      </c>
      <c r="AA23" s="106"/>
      <c r="AB23" s="106"/>
      <c r="AC23" s="106"/>
      <c r="AD23" s="106"/>
      <c r="AE23" s="106"/>
      <c r="AF23" s="106"/>
      <c r="AG23" s="106"/>
      <c r="AH23" s="106"/>
    </row>
    <row r="24" spans="1:34" s="77" customFormat="1" ht="136" customHeight="1">
      <c r="A24" s="83"/>
      <c r="B24" s="102">
        <f t="shared" si="0"/>
        <v>15</v>
      </c>
      <c r="C24" s="103" t="s">
        <v>112</v>
      </c>
      <c r="D24" s="104" t="s">
        <v>113</v>
      </c>
      <c r="E24" s="102"/>
      <c r="F24" s="102"/>
      <c r="G24" s="102" t="s">
        <v>771</v>
      </c>
      <c r="H24" s="106" t="s">
        <v>53</v>
      </c>
      <c r="I24" s="107" t="s">
        <v>114</v>
      </c>
      <c r="J24" s="106" t="s">
        <v>47</v>
      </c>
      <c r="K24" s="102"/>
      <c r="L24" s="113" t="s">
        <v>115</v>
      </c>
      <c r="M24" s="102"/>
      <c r="N24" s="102" t="s">
        <v>116</v>
      </c>
      <c r="O24" s="102"/>
      <c r="P24" s="102"/>
      <c r="Q24" s="106"/>
      <c r="R24" s="102"/>
      <c r="S24" s="102"/>
      <c r="T24" s="102">
        <v>1</v>
      </c>
      <c r="U24" s="102">
        <v>1</v>
      </c>
      <c r="V24" s="102">
        <v>1</v>
      </c>
      <c r="W24" s="102">
        <v>1</v>
      </c>
      <c r="X24" s="102">
        <v>1</v>
      </c>
      <c r="Y24" s="102">
        <v>1</v>
      </c>
      <c r="Z24" s="102">
        <v>1</v>
      </c>
      <c r="AA24" s="106"/>
      <c r="AB24" s="106"/>
      <c r="AC24" s="106"/>
      <c r="AD24" s="106"/>
      <c r="AE24" s="106"/>
      <c r="AF24" s="106"/>
      <c r="AG24" s="106"/>
      <c r="AH24" s="106"/>
    </row>
    <row r="25" spans="1:34" s="77" customFormat="1" ht="136" customHeight="1">
      <c r="A25" s="83"/>
      <c r="B25" s="102">
        <f>IF(ISBLANK($D25),"",ROW()-9)</f>
        <v>16</v>
      </c>
      <c r="C25" s="103" t="s">
        <v>117</v>
      </c>
      <c r="D25" s="104" t="s">
        <v>118</v>
      </c>
      <c r="E25" s="102"/>
      <c r="F25" s="102"/>
      <c r="G25" s="102" t="s">
        <v>771</v>
      </c>
      <c r="H25" s="106" t="s">
        <v>777</v>
      </c>
      <c r="I25" s="105" t="s">
        <v>789</v>
      </c>
      <c r="J25" s="113" t="s">
        <v>790</v>
      </c>
      <c r="K25" s="102" t="s">
        <v>781</v>
      </c>
      <c r="L25" s="113" t="s">
        <v>791</v>
      </c>
      <c r="M25" s="105" t="s">
        <v>792</v>
      </c>
      <c r="N25" s="105" t="s">
        <v>793</v>
      </c>
      <c r="O25" s="106" t="s">
        <v>839</v>
      </c>
      <c r="P25" s="102" t="s">
        <v>783</v>
      </c>
      <c r="Q25" s="106"/>
      <c r="R25" s="102" t="s">
        <v>739</v>
      </c>
      <c r="S25" s="102" t="s">
        <v>781</v>
      </c>
      <c r="T25" s="106" t="s">
        <v>782</v>
      </c>
      <c r="U25" s="102">
        <v>1</v>
      </c>
      <c r="V25" s="102">
        <v>1</v>
      </c>
      <c r="W25" s="102">
        <v>1</v>
      </c>
      <c r="X25" s="102">
        <v>1</v>
      </c>
      <c r="Y25" s="102">
        <v>1</v>
      </c>
      <c r="Z25" s="102">
        <v>1</v>
      </c>
      <c r="AA25" s="106" t="s">
        <v>782</v>
      </c>
      <c r="AB25" s="106"/>
      <c r="AC25" s="106"/>
      <c r="AD25" s="106"/>
      <c r="AE25" s="106"/>
      <c r="AF25" s="106"/>
      <c r="AG25" s="106"/>
      <c r="AH25" s="106" t="s">
        <v>774</v>
      </c>
    </row>
    <row r="26" spans="1:34" s="77" customFormat="1" ht="140">
      <c r="A26" s="83"/>
      <c r="B26" s="102">
        <f t="shared" si="0"/>
        <v>17</v>
      </c>
      <c r="C26" s="103" t="s">
        <v>117</v>
      </c>
      <c r="D26" s="104" t="s">
        <v>118</v>
      </c>
      <c r="E26" s="102"/>
      <c r="F26" s="102"/>
      <c r="G26" s="102" t="s">
        <v>771</v>
      </c>
      <c r="H26" s="106" t="s">
        <v>777</v>
      </c>
      <c r="I26" s="105" t="s">
        <v>794</v>
      </c>
      <c r="J26" s="113" t="s">
        <v>795</v>
      </c>
      <c r="K26" s="102" t="s">
        <v>781</v>
      </c>
      <c r="L26" s="113" t="s">
        <v>796</v>
      </c>
      <c r="M26" s="105" t="s">
        <v>792</v>
      </c>
      <c r="N26" s="105" t="s">
        <v>793</v>
      </c>
      <c r="O26" s="106" t="s">
        <v>839</v>
      </c>
      <c r="P26" s="102" t="s">
        <v>783</v>
      </c>
      <c r="Q26" s="106"/>
      <c r="R26" s="102" t="s">
        <v>739</v>
      </c>
      <c r="S26" s="102" t="s">
        <v>781</v>
      </c>
      <c r="T26" s="102">
        <v>1</v>
      </c>
      <c r="U26" s="102">
        <v>1</v>
      </c>
      <c r="V26" s="102">
        <v>1</v>
      </c>
      <c r="W26" s="102">
        <v>1</v>
      </c>
      <c r="X26" s="102">
        <v>1</v>
      </c>
      <c r="Y26" s="102">
        <v>1</v>
      </c>
      <c r="Z26" s="102">
        <v>1</v>
      </c>
      <c r="AA26" s="106" t="s">
        <v>782</v>
      </c>
      <c r="AB26" s="106"/>
      <c r="AC26" s="106"/>
      <c r="AD26" s="106"/>
      <c r="AE26" s="106"/>
      <c r="AF26" s="106"/>
      <c r="AG26" s="106"/>
      <c r="AH26" s="106" t="s">
        <v>774</v>
      </c>
    </row>
    <row r="27" spans="1:34" s="77" customFormat="1" ht="154">
      <c r="A27" s="83"/>
      <c r="B27" s="102">
        <f t="shared" si="0"/>
        <v>18</v>
      </c>
      <c r="C27" s="103" t="s">
        <v>119</v>
      </c>
      <c r="D27" s="104" t="s">
        <v>120</v>
      </c>
      <c r="E27" s="102"/>
      <c r="F27" s="102"/>
      <c r="G27" s="102" t="s">
        <v>771</v>
      </c>
      <c r="H27" s="106" t="s">
        <v>777</v>
      </c>
      <c r="I27" s="107" t="s">
        <v>797</v>
      </c>
      <c r="J27" s="113" t="s">
        <v>798</v>
      </c>
      <c r="K27" s="102" t="s">
        <v>781</v>
      </c>
      <c r="L27" s="113" t="s">
        <v>799</v>
      </c>
      <c r="M27" s="105" t="s">
        <v>800</v>
      </c>
      <c r="N27" s="105" t="s">
        <v>801</v>
      </c>
      <c r="O27" s="106" t="s">
        <v>839</v>
      </c>
      <c r="P27" s="102" t="s">
        <v>783</v>
      </c>
      <c r="Q27" s="106"/>
      <c r="R27" s="102" t="s">
        <v>739</v>
      </c>
      <c r="S27" s="102" t="s">
        <v>781</v>
      </c>
      <c r="T27" s="102">
        <v>1</v>
      </c>
      <c r="U27" s="102">
        <v>1</v>
      </c>
      <c r="V27" s="102">
        <v>1</v>
      </c>
      <c r="W27" s="102">
        <v>1</v>
      </c>
      <c r="X27" s="102">
        <v>1</v>
      </c>
      <c r="Y27" s="102">
        <v>1</v>
      </c>
      <c r="Z27" s="102">
        <v>1</v>
      </c>
      <c r="AA27" s="106" t="s">
        <v>782</v>
      </c>
      <c r="AB27" s="106"/>
      <c r="AC27" s="106"/>
      <c r="AD27" s="106"/>
      <c r="AE27" s="106"/>
      <c r="AF27" s="106"/>
      <c r="AG27" s="106"/>
      <c r="AH27" s="106" t="s">
        <v>774</v>
      </c>
    </row>
    <row r="28" spans="1:34" s="77" customFormat="1" ht="154">
      <c r="A28" s="83"/>
      <c r="B28" s="102">
        <f t="shared" si="0"/>
        <v>19</v>
      </c>
      <c r="C28" s="103" t="s">
        <v>119</v>
      </c>
      <c r="D28" s="104" t="s">
        <v>120</v>
      </c>
      <c r="E28" s="102"/>
      <c r="F28" s="102"/>
      <c r="G28" s="102" t="s">
        <v>771</v>
      </c>
      <c r="H28" s="106" t="s">
        <v>777</v>
      </c>
      <c r="I28" s="107" t="s">
        <v>802</v>
      </c>
      <c r="J28" s="113" t="s">
        <v>803</v>
      </c>
      <c r="K28" s="102" t="s">
        <v>781</v>
      </c>
      <c r="L28" s="113" t="s">
        <v>804</v>
      </c>
      <c r="M28" s="105" t="s">
        <v>800</v>
      </c>
      <c r="N28" s="105" t="s">
        <v>801</v>
      </c>
      <c r="O28" s="106" t="s">
        <v>839</v>
      </c>
      <c r="P28" s="102" t="s">
        <v>783</v>
      </c>
      <c r="Q28" s="106"/>
      <c r="R28" s="116" t="s">
        <v>805</v>
      </c>
      <c r="S28" s="102" t="s">
        <v>781</v>
      </c>
      <c r="T28" s="102">
        <v>1</v>
      </c>
      <c r="U28" s="102">
        <v>1</v>
      </c>
      <c r="V28" s="102">
        <v>1</v>
      </c>
      <c r="W28" s="102">
        <v>1</v>
      </c>
      <c r="X28" s="102">
        <v>1</v>
      </c>
      <c r="Y28" s="102">
        <v>1</v>
      </c>
      <c r="Z28" s="102">
        <v>1</v>
      </c>
      <c r="AA28" s="106" t="s">
        <v>782</v>
      </c>
      <c r="AB28" s="106"/>
      <c r="AC28" s="106"/>
      <c r="AD28" s="106"/>
      <c r="AE28" s="106"/>
      <c r="AF28" s="106"/>
      <c r="AG28" s="106"/>
      <c r="AH28" s="106" t="s">
        <v>774</v>
      </c>
    </row>
    <row r="29" spans="1:34" s="77" customFormat="1" ht="119" customHeight="1">
      <c r="A29" s="83"/>
      <c r="B29" s="102">
        <f t="shared" si="0"/>
        <v>20</v>
      </c>
      <c r="C29" s="103" t="s">
        <v>121</v>
      </c>
      <c r="D29" s="104" t="s">
        <v>122</v>
      </c>
      <c r="E29" s="102"/>
      <c r="F29" s="102"/>
      <c r="G29" s="102" t="s">
        <v>771</v>
      </c>
      <c r="H29" s="102" t="s">
        <v>102</v>
      </c>
      <c r="I29" s="105" t="s">
        <v>103</v>
      </c>
      <c r="J29" s="106" t="s">
        <v>47</v>
      </c>
      <c r="K29" s="102"/>
      <c r="L29" s="113" t="s">
        <v>123</v>
      </c>
      <c r="M29" s="102"/>
      <c r="N29" s="102" t="s">
        <v>124</v>
      </c>
      <c r="O29" s="102"/>
      <c r="P29" s="102"/>
      <c r="Q29" s="106"/>
      <c r="R29" s="102"/>
      <c r="S29" s="102"/>
      <c r="T29" s="102">
        <v>1</v>
      </c>
      <c r="U29" s="102">
        <v>1</v>
      </c>
      <c r="V29" s="102">
        <v>1</v>
      </c>
      <c r="W29" s="102">
        <v>1</v>
      </c>
      <c r="X29" s="102">
        <v>1</v>
      </c>
      <c r="Y29" s="102">
        <v>1</v>
      </c>
      <c r="Z29" s="102">
        <v>1</v>
      </c>
      <c r="AA29" s="106"/>
      <c r="AB29" s="106"/>
      <c r="AC29" s="106"/>
      <c r="AD29" s="106"/>
      <c r="AE29" s="106"/>
      <c r="AF29" s="106"/>
      <c r="AG29" s="106"/>
      <c r="AH29" s="106"/>
    </row>
    <row r="30" spans="1:34" s="77" customFormat="1" ht="136" customHeight="1">
      <c r="A30" s="83"/>
      <c r="B30" s="102">
        <f t="shared" si="0"/>
        <v>21</v>
      </c>
      <c r="C30" s="103" t="s">
        <v>125</v>
      </c>
      <c r="D30" s="104" t="s">
        <v>126</v>
      </c>
      <c r="E30" s="102"/>
      <c r="F30" s="102"/>
      <c r="G30" s="102" t="s">
        <v>771</v>
      </c>
      <c r="H30" s="106" t="s">
        <v>53</v>
      </c>
      <c r="I30" s="107" t="s">
        <v>127</v>
      </c>
      <c r="J30" s="106" t="s">
        <v>47</v>
      </c>
      <c r="K30" s="102"/>
      <c r="L30" s="113" t="s">
        <v>128</v>
      </c>
      <c r="M30" s="102"/>
      <c r="N30" s="102" t="s">
        <v>129</v>
      </c>
      <c r="O30" s="102"/>
      <c r="P30" s="102"/>
      <c r="Q30" s="106"/>
      <c r="R30" s="102"/>
      <c r="S30" s="102"/>
      <c r="T30" s="102">
        <v>1</v>
      </c>
      <c r="U30" s="102">
        <v>1</v>
      </c>
      <c r="V30" s="102">
        <v>1</v>
      </c>
      <c r="W30" s="102">
        <v>1</v>
      </c>
      <c r="X30" s="102">
        <v>1</v>
      </c>
      <c r="Y30" s="102">
        <v>1</v>
      </c>
      <c r="Z30" s="102">
        <v>1</v>
      </c>
      <c r="AA30" s="106"/>
      <c r="AB30" s="106"/>
      <c r="AC30" s="106"/>
      <c r="AD30" s="106"/>
      <c r="AE30" s="106"/>
      <c r="AF30" s="106"/>
      <c r="AG30" s="106"/>
      <c r="AH30" s="106"/>
    </row>
    <row r="31" spans="1:34" s="77" customFormat="1" ht="154">
      <c r="A31" s="83"/>
      <c r="B31" s="102">
        <f t="shared" si="0"/>
        <v>22</v>
      </c>
      <c r="C31" s="103" t="s">
        <v>130</v>
      </c>
      <c r="D31" s="104" t="s">
        <v>131</v>
      </c>
      <c r="E31" s="102"/>
      <c r="F31" s="102"/>
      <c r="G31" s="102" t="s">
        <v>771</v>
      </c>
      <c r="H31" s="106" t="s">
        <v>777</v>
      </c>
      <c r="I31" s="105" t="s">
        <v>806</v>
      </c>
      <c r="J31" s="113" t="s">
        <v>807</v>
      </c>
      <c r="K31" s="102" t="s">
        <v>781</v>
      </c>
      <c r="L31" s="113" t="s">
        <v>808</v>
      </c>
      <c r="M31" s="114" t="s">
        <v>809</v>
      </c>
      <c r="N31" s="105" t="s">
        <v>810</v>
      </c>
      <c r="O31" s="106" t="s">
        <v>839</v>
      </c>
      <c r="P31" s="102" t="s">
        <v>783</v>
      </c>
      <c r="Q31" s="106"/>
      <c r="R31" s="116" t="s">
        <v>805</v>
      </c>
      <c r="S31" s="102" t="s">
        <v>781</v>
      </c>
      <c r="T31" s="102">
        <v>1</v>
      </c>
      <c r="U31" s="102">
        <v>1</v>
      </c>
      <c r="V31" s="102">
        <v>1</v>
      </c>
      <c r="W31" s="102">
        <v>1</v>
      </c>
      <c r="X31" s="102">
        <v>1</v>
      </c>
      <c r="Y31" s="102">
        <v>1</v>
      </c>
      <c r="Z31" s="102">
        <v>1</v>
      </c>
      <c r="AA31" s="106" t="s">
        <v>782</v>
      </c>
      <c r="AB31" s="106"/>
      <c r="AC31" s="106"/>
      <c r="AD31" s="106"/>
      <c r="AE31" s="106"/>
      <c r="AF31" s="106"/>
      <c r="AG31" s="106"/>
      <c r="AH31" s="106" t="s">
        <v>774</v>
      </c>
    </row>
    <row r="32" spans="1:34" s="77" customFormat="1" ht="154">
      <c r="A32" s="83"/>
      <c r="B32" s="102">
        <f t="shared" si="0"/>
        <v>23</v>
      </c>
      <c r="C32" s="103" t="s">
        <v>130</v>
      </c>
      <c r="D32" s="104" t="s">
        <v>131</v>
      </c>
      <c r="E32" s="102"/>
      <c r="F32" s="102"/>
      <c r="G32" s="102" t="s">
        <v>771</v>
      </c>
      <c r="H32" s="106" t="s">
        <v>777</v>
      </c>
      <c r="I32" s="105" t="s">
        <v>811</v>
      </c>
      <c r="J32" s="113" t="s">
        <v>812</v>
      </c>
      <c r="K32" s="102" t="s">
        <v>781</v>
      </c>
      <c r="L32" s="113" t="s">
        <v>813</v>
      </c>
      <c r="M32" s="105" t="s">
        <v>809</v>
      </c>
      <c r="N32" s="105" t="s">
        <v>810</v>
      </c>
      <c r="O32" s="106" t="s">
        <v>839</v>
      </c>
      <c r="P32" s="102" t="s">
        <v>783</v>
      </c>
      <c r="Q32" s="106"/>
      <c r="R32" s="116" t="s">
        <v>805</v>
      </c>
      <c r="S32" s="102" t="s">
        <v>781</v>
      </c>
      <c r="T32" s="102">
        <v>1</v>
      </c>
      <c r="U32" s="102">
        <v>1</v>
      </c>
      <c r="V32" s="102">
        <v>1</v>
      </c>
      <c r="W32" s="102">
        <v>1</v>
      </c>
      <c r="X32" s="102">
        <v>1</v>
      </c>
      <c r="Y32" s="102">
        <v>1</v>
      </c>
      <c r="Z32" s="102">
        <v>1</v>
      </c>
      <c r="AA32" s="106" t="s">
        <v>782</v>
      </c>
      <c r="AB32" s="106"/>
      <c r="AC32" s="106"/>
      <c r="AD32" s="106"/>
      <c r="AE32" s="106"/>
      <c r="AF32" s="106"/>
      <c r="AG32" s="106"/>
      <c r="AH32" s="106" t="s">
        <v>774</v>
      </c>
    </row>
    <row r="33" spans="1:34" s="77" customFormat="1" ht="154">
      <c r="A33" s="83"/>
      <c r="B33" s="102">
        <f t="shared" si="0"/>
        <v>24</v>
      </c>
      <c r="C33" s="103" t="s">
        <v>132</v>
      </c>
      <c r="D33" s="104" t="s">
        <v>133</v>
      </c>
      <c r="E33" s="102"/>
      <c r="F33" s="102"/>
      <c r="G33" s="102" t="s">
        <v>771</v>
      </c>
      <c r="H33" s="102" t="s">
        <v>882</v>
      </c>
      <c r="I33" s="107" t="s">
        <v>814</v>
      </c>
      <c r="J33" s="113" t="s">
        <v>818</v>
      </c>
      <c r="K33" s="102" t="s">
        <v>781</v>
      </c>
      <c r="L33" s="113" t="s">
        <v>819</v>
      </c>
      <c r="M33" s="105" t="s">
        <v>820</v>
      </c>
      <c r="N33" s="105" t="s">
        <v>816</v>
      </c>
      <c r="O33" s="106" t="s">
        <v>839</v>
      </c>
      <c r="P33" s="102" t="s">
        <v>817</v>
      </c>
      <c r="Q33" s="106"/>
      <c r="R33" s="102" t="s">
        <v>739</v>
      </c>
      <c r="S33" s="102" t="s">
        <v>781</v>
      </c>
      <c r="T33" s="102">
        <v>1</v>
      </c>
      <c r="U33" s="102">
        <v>1</v>
      </c>
      <c r="V33" s="102">
        <v>1</v>
      </c>
      <c r="W33" s="102">
        <v>1</v>
      </c>
      <c r="X33" s="102">
        <v>1</v>
      </c>
      <c r="Y33" s="102">
        <v>1</v>
      </c>
      <c r="Z33" s="102">
        <v>1</v>
      </c>
      <c r="AA33" s="106" t="s">
        <v>782</v>
      </c>
      <c r="AB33" s="106"/>
      <c r="AC33" s="106"/>
      <c r="AD33" s="106"/>
      <c r="AE33" s="106"/>
      <c r="AF33" s="106"/>
      <c r="AG33" s="106"/>
      <c r="AH33" s="106" t="s">
        <v>774</v>
      </c>
    </row>
    <row r="34" spans="1:34" s="77" customFormat="1" ht="154">
      <c r="A34" s="83"/>
      <c r="B34" s="102">
        <f t="shared" si="0"/>
        <v>25</v>
      </c>
      <c r="C34" s="103" t="s">
        <v>132</v>
      </c>
      <c r="D34" s="104" t="s">
        <v>133</v>
      </c>
      <c r="E34" s="102"/>
      <c r="F34" s="102"/>
      <c r="G34" s="102" t="s">
        <v>771</v>
      </c>
      <c r="H34" s="102" t="s">
        <v>882</v>
      </c>
      <c r="I34" s="107" t="s">
        <v>821</v>
      </c>
      <c r="J34" s="113" t="s">
        <v>822</v>
      </c>
      <c r="K34" s="102" t="s">
        <v>781</v>
      </c>
      <c r="L34" s="113" t="s">
        <v>823</v>
      </c>
      <c r="M34" s="105" t="s">
        <v>820</v>
      </c>
      <c r="N34" s="105" t="s">
        <v>816</v>
      </c>
      <c r="O34" s="106" t="s">
        <v>839</v>
      </c>
      <c r="P34" s="102" t="s">
        <v>817</v>
      </c>
      <c r="Q34" s="106"/>
      <c r="R34" s="102" t="s">
        <v>739</v>
      </c>
      <c r="S34" s="102" t="s">
        <v>781</v>
      </c>
      <c r="T34" s="102">
        <v>1</v>
      </c>
      <c r="U34" s="102">
        <v>1</v>
      </c>
      <c r="V34" s="102">
        <v>1</v>
      </c>
      <c r="W34" s="102">
        <v>1</v>
      </c>
      <c r="X34" s="102">
        <v>1</v>
      </c>
      <c r="Y34" s="102">
        <v>1</v>
      </c>
      <c r="Z34" s="102">
        <v>1</v>
      </c>
      <c r="AA34" s="106" t="s">
        <v>782</v>
      </c>
      <c r="AB34" s="106"/>
      <c r="AC34" s="106"/>
      <c r="AD34" s="106"/>
      <c r="AE34" s="106"/>
      <c r="AF34" s="106"/>
      <c r="AG34" s="106"/>
      <c r="AH34" s="106" t="s">
        <v>774</v>
      </c>
    </row>
    <row r="35" spans="1:34" s="77" customFormat="1" ht="136" customHeight="1">
      <c r="A35" s="83"/>
      <c r="B35" s="102">
        <f t="shared" si="0"/>
        <v>26</v>
      </c>
      <c r="C35" s="103" t="s">
        <v>134</v>
      </c>
      <c r="D35" s="104" t="s">
        <v>135</v>
      </c>
      <c r="E35" s="102"/>
      <c r="F35" s="102"/>
      <c r="G35" s="102" t="s">
        <v>771</v>
      </c>
      <c r="H35" s="102" t="s">
        <v>136</v>
      </c>
      <c r="I35" s="107" t="s">
        <v>137</v>
      </c>
      <c r="J35" s="106" t="s">
        <v>47</v>
      </c>
      <c r="K35" s="102"/>
      <c r="L35" s="114" t="s">
        <v>138</v>
      </c>
      <c r="M35" s="102"/>
      <c r="N35" s="102" t="s">
        <v>815</v>
      </c>
      <c r="O35" s="102"/>
      <c r="P35" s="102"/>
      <c r="Q35" s="106"/>
      <c r="R35" s="102"/>
      <c r="S35" s="102"/>
      <c r="T35" s="102">
        <v>1</v>
      </c>
      <c r="U35" s="102">
        <v>1</v>
      </c>
      <c r="V35" s="102">
        <v>1</v>
      </c>
      <c r="W35" s="102">
        <v>1</v>
      </c>
      <c r="X35" s="102">
        <v>1</v>
      </c>
      <c r="Y35" s="102">
        <v>1</v>
      </c>
      <c r="Z35" s="102">
        <v>1</v>
      </c>
      <c r="AA35" s="106"/>
      <c r="AB35" s="106"/>
      <c r="AC35" s="106"/>
      <c r="AD35" s="106"/>
      <c r="AE35" s="106"/>
      <c r="AF35" s="106"/>
      <c r="AG35" s="106"/>
      <c r="AH35" s="106"/>
    </row>
    <row r="36" spans="1:34" s="77" customFormat="1" ht="119" customHeight="1">
      <c r="A36" s="83"/>
      <c r="B36" s="102">
        <f t="shared" si="0"/>
        <v>27</v>
      </c>
      <c r="C36" s="103" t="s">
        <v>139</v>
      </c>
      <c r="D36" s="104" t="s">
        <v>140</v>
      </c>
      <c r="E36" s="102"/>
      <c r="F36" s="102"/>
      <c r="G36" s="102" t="s">
        <v>771</v>
      </c>
      <c r="H36" s="102" t="s">
        <v>141</v>
      </c>
      <c r="I36" s="107" t="s">
        <v>142</v>
      </c>
      <c r="J36" s="106" t="s">
        <v>47</v>
      </c>
      <c r="K36" s="102"/>
      <c r="L36" s="114" t="s">
        <v>143</v>
      </c>
      <c r="M36" s="102"/>
      <c r="N36" s="102" t="s">
        <v>144</v>
      </c>
      <c r="O36" s="102"/>
      <c r="P36" s="102"/>
      <c r="Q36" s="106"/>
      <c r="R36" s="102"/>
      <c r="S36" s="102"/>
      <c r="T36" s="102">
        <v>1</v>
      </c>
      <c r="U36" s="102">
        <v>1</v>
      </c>
      <c r="V36" s="102">
        <v>1</v>
      </c>
      <c r="W36" s="102">
        <v>1</v>
      </c>
      <c r="X36" s="102">
        <v>1</v>
      </c>
      <c r="Y36" s="102">
        <v>1</v>
      </c>
      <c r="Z36" s="102">
        <v>1</v>
      </c>
      <c r="AA36" s="106"/>
      <c r="AB36" s="106"/>
      <c r="AC36" s="106"/>
      <c r="AD36" s="106"/>
      <c r="AE36" s="106"/>
      <c r="AF36" s="106"/>
      <c r="AG36" s="106"/>
      <c r="AH36" s="106"/>
    </row>
    <row r="37" spans="1:34" s="77" customFormat="1" ht="119" customHeight="1">
      <c r="A37" s="83"/>
      <c r="B37" s="102">
        <f t="shared" si="0"/>
        <v>28</v>
      </c>
      <c r="C37" s="103" t="s">
        <v>145</v>
      </c>
      <c r="D37" s="104" t="s">
        <v>146</v>
      </c>
      <c r="E37" s="102"/>
      <c r="F37" s="102"/>
      <c r="G37" s="102" t="s">
        <v>771</v>
      </c>
      <c r="H37" s="102" t="s">
        <v>147</v>
      </c>
      <c r="I37" s="107" t="s">
        <v>148</v>
      </c>
      <c r="J37" s="106" t="s">
        <v>47</v>
      </c>
      <c r="K37" s="102"/>
      <c r="L37" s="114" t="s">
        <v>143</v>
      </c>
      <c r="M37" s="102"/>
      <c r="N37" s="102" t="s">
        <v>149</v>
      </c>
      <c r="O37" s="102"/>
      <c r="P37" s="102"/>
      <c r="Q37" s="106"/>
      <c r="R37" s="102"/>
      <c r="S37" s="102"/>
      <c r="T37" s="102">
        <v>1</v>
      </c>
      <c r="U37" s="102">
        <v>1</v>
      </c>
      <c r="V37" s="102">
        <v>1</v>
      </c>
      <c r="W37" s="102">
        <v>1</v>
      </c>
      <c r="X37" s="102">
        <v>1</v>
      </c>
      <c r="Y37" s="102">
        <v>1</v>
      </c>
      <c r="Z37" s="102">
        <v>1</v>
      </c>
      <c r="AA37" s="106"/>
      <c r="AB37" s="106"/>
      <c r="AC37" s="106"/>
      <c r="AD37" s="106"/>
      <c r="AE37" s="106"/>
      <c r="AF37" s="106"/>
      <c r="AG37" s="106"/>
      <c r="AH37" s="106"/>
    </row>
    <row r="38" spans="1:34" s="77" customFormat="1" ht="119" customHeight="1">
      <c r="A38" s="83"/>
      <c r="B38" s="102">
        <f t="shared" si="0"/>
        <v>29</v>
      </c>
      <c r="C38" s="103" t="s">
        <v>150</v>
      </c>
      <c r="D38" s="104" t="s">
        <v>151</v>
      </c>
      <c r="E38" s="102"/>
      <c r="F38" s="102"/>
      <c r="G38" s="102" t="s">
        <v>771</v>
      </c>
      <c r="H38" s="102" t="s">
        <v>141</v>
      </c>
      <c r="I38" s="107" t="s">
        <v>152</v>
      </c>
      <c r="J38" s="106" t="s">
        <v>47</v>
      </c>
      <c r="K38" s="102"/>
      <c r="L38" s="113" t="s">
        <v>153</v>
      </c>
      <c r="M38" s="102"/>
      <c r="N38" s="102" t="s">
        <v>154</v>
      </c>
      <c r="O38" s="102"/>
      <c r="P38" s="102"/>
      <c r="Q38" s="106"/>
      <c r="R38" s="102"/>
      <c r="S38" s="102"/>
      <c r="T38" s="102">
        <v>1</v>
      </c>
      <c r="U38" s="102">
        <v>1</v>
      </c>
      <c r="V38" s="102">
        <v>1</v>
      </c>
      <c r="W38" s="102">
        <v>1</v>
      </c>
      <c r="X38" s="102">
        <v>1</v>
      </c>
      <c r="Y38" s="102">
        <v>1</v>
      </c>
      <c r="Z38" s="102">
        <v>1</v>
      </c>
      <c r="AA38" s="106"/>
      <c r="AB38" s="106"/>
      <c r="AC38" s="106"/>
      <c r="AD38" s="106"/>
      <c r="AE38" s="106"/>
      <c r="AF38" s="106"/>
      <c r="AG38" s="106"/>
      <c r="AH38" s="106"/>
    </row>
    <row r="39" spans="1:34" s="77" customFormat="1" ht="102" customHeight="1">
      <c r="A39" s="83"/>
      <c r="B39" s="102">
        <f t="shared" si="0"/>
        <v>30</v>
      </c>
      <c r="C39" s="103" t="s">
        <v>155</v>
      </c>
      <c r="D39" s="104" t="s">
        <v>156</v>
      </c>
      <c r="E39" s="102"/>
      <c r="F39" s="102"/>
      <c r="G39" s="102" t="s">
        <v>771</v>
      </c>
      <c r="H39" s="106" t="s">
        <v>157</v>
      </c>
      <c r="I39" s="107" t="s">
        <v>158</v>
      </c>
      <c r="J39" s="106" t="s">
        <v>47</v>
      </c>
      <c r="K39" s="102"/>
      <c r="L39" s="114" t="s">
        <v>159</v>
      </c>
      <c r="M39" s="102"/>
      <c r="N39" s="102" t="s">
        <v>160</v>
      </c>
      <c r="O39" s="102"/>
      <c r="P39" s="102"/>
      <c r="Q39" s="106"/>
      <c r="R39" s="102"/>
      <c r="S39" s="102"/>
      <c r="T39" s="102">
        <v>1</v>
      </c>
      <c r="U39" s="102">
        <v>1</v>
      </c>
      <c r="V39" s="102">
        <v>1</v>
      </c>
      <c r="W39" s="102">
        <v>1</v>
      </c>
      <c r="X39" s="102">
        <v>1</v>
      </c>
      <c r="Y39" s="102">
        <v>1</v>
      </c>
      <c r="Z39" s="102">
        <v>1</v>
      </c>
      <c r="AA39" s="106"/>
      <c r="AB39" s="106"/>
      <c r="AC39" s="106"/>
      <c r="AD39" s="106"/>
      <c r="AE39" s="106"/>
      <c r="AF39" s="106"/>
      <c r="AG39" s="106"/>
      <c r="AH39" s="106"/>
    </row>
    <row r="40" spans="1:34" s="77" customFormat="1" ht="119" customHeight="1">
      <c r="B40" s="102">
        <f t="shared" si="0"/>
        <v>31</v>
      </c>
      <c r="C40" s="103" t="s">
        <v>161</v>
      </c>
      <c r="D40" s="104" t="s">
        <v>162</v>
      </c>
      <c r="E40" s="106"/>
      <c r="F40" s="106"/>
      <c r="G40" s="102" t="s">
        <v>771</v>
      </c>
      <c r="H40" s="106" t="s">
        <v>163</v>
      </c>
      <c r="I40" s="107" t="s">
        <v>164</v>
      </c>
      <c r="J40" s="106" t="s">
        <v>47</v>
      </c>
      <c r="K40" s="106"/>
      <c r="L40" s="114" t="s">
        <v>165</v>
      </c>
      <c r="M40" s="106"/>
      <c r="N40" s="106" t="s">
        <v>166</v>
      </c>
      <c r="O40" s="106"/>
      <c r="P40" s="102"/>
      <c r="Q40" s="106"/>
      <c r="R40" s="102"/>
      <c r="S40" s="106"/>
      <c r="T40" s="102">
        <v>1</v>
      </c>
      <c r="U40" s="102">
        <v>1</v>
      </c>
      <c r="V40" s="102">
        <v>1</v>
      </c>
      <c r="W40" s="102">
        <v>1</v>
      </c>
      <c r="X40" s="102">
        <v>1</v>
      </c>
      <c r="Y40" s="102">
        <v>1</v>
      </c>
      <c r="Z40" s="102">
        <v>1</v>
      </c>
      <c r="AA40" s="106"/>
      <c r="AB40" s="106"/>
      <c r="AC40" s="106"/>
      <c r="AD40" s="106"/>
      <c r="AE40" s="106"/>
      <c r="AF40" s="106"/>
      <c r="AG40" s="106"/>
      <c r="AH40" s="106"/>
    </row>
    <row r="41" spans="1:34" s="77" customFormat="1" ht="136" customHeight="1">
      <c r="B41" s="102">
        <f t="shared" si="0"/>
        <v>32</v>
      </c>
      <c r="C41" s="103" t="s">
        <v>167</v>
      </c>
      <c r="D41" s="104" t="s">
        <v>168</v>
      </c>
      <c r="E41" s="106"/>
      <c r="F41" s="106"/>
      <c r="G41" s="102" t="s">
        <v>771</v>
      </c>
      <c r="H41" s="106" t="s">
        <v>169</v>
      </c>
      <c r="I41" s="105" t="s">
        <v>170</v>
      </c>
      <c r="J41" s="106" t="s">
        <v>47</v>
      </c>
      <c r="K41" s="106"/>
      <c r="L41" s="114" t="s">
        <v>165</v>
      </c>
      <c r="M41" s="106"/>
      <c r="N41" s="106" t="s">
        <v>171</v>
      </c>
      <c r="O41" s="106"/>
      <c r="P41" s="102"/>
      <c r="Q41" s="106"/>
      <c r="R41" s="102"/>
      <c r="S41" s="106"/>
      <c r="T41" s="102">
        <v>1</v>
      </c>
      <c r="U41" s="102">
        <v>1</v>
      </c>
      <c r="V41" s="102">
        <v>1</v>
      </c>
      <c r="W41" s="102">
        <v>1</v>
      </c>
      <c r="X41" s="102">
        <v>1</v>
      </c>
      <c r="Y41" s="102">
        <v>1</v>
      </c>
      <c r="Z41" s="102">
        <v>1</v>
      </c>
      <c r="AA41" s="106"/>
      <c r="AB41" s="106"/>
      <c r="AC41" s="106"/>
      <c r="AD41" s="106"/>
      <c r="AE41" s="106"/>
      <c r="AF41" s="106"/>
      <c r="AG41" s="106"/>
      <c r="AH41" s="106"/>
    </row>
    <row r="42" spans="1:34" s="77" customFormat="1" ht="136" customHeight="1">
      <c r="B42" s="102">
        <f t="shared" si="0"/>
        <v>33</v>
      </c>
      <c r="C42" s="103" t="s">
        <v>172</v>
      </c>
      <c r="D42" s="104" t="s">
        <v>173</v>
      </c>
      <c r="E42" s="106"/>
      <c r="F42" s="106"/>
      <c r="G42" s="102" t="s">
        <v>771</v>
      </c>
      <c r="H42" s="106" t="s">
        <v>163</v>
      </c>
      <c r="I42" s="105" t="s">
        <v>174</v>
      </c>
      <c r="J42" s="106" t="s">
        <v>47</v>
      </c>
      <c r="K42" s="106"/>
      <c r="L42" s="114" t="s">
        <v>159</v>
      </c>
      <c r="M42" s="106"/>
      <c r="N42" s="106" t="s">
        <v>175</v>
      </c>
      <c r="O42" s="106"/>
      <c r="P42" s="102"/>
      <c r="Q42" s="106"/>
      <c r="R42" s="102"/>
      <c r="S42" s="106"/>
      <c r="T42" s="102">
        <v>1</v>
      </c>
      <c r="U42" s="102">
        <v>1</v>
      </c>
      <c r="V42" s="102">
        <v>1</v>
      </c>
      <c r="W42" s="102">
        <v>1</v>
      </c>
      <c r="X42" s="102">
        <v>1</v>
      </c>
      <c r="Y42" s="102">
        <v>1</v>
      </c>
      <c r="Z42" s="102">
        <v>1</v>
      </c>
      <c r="AA42" s="106"/>
      <c r="AB42" s="106"/>
      <c r="AC42" s="106"/>
      <c r="AD42" s="106"/>
      <c r="AE42" s="106"/>
      <c r="AF42" s="106"/>
      <c r="AG42" s="106"/>
      <c r="AH42" s="106"/>
    </row>
    <row r="43" spans="1:34" s="77" customFormat="1" ht="409.5" customHeight="1">
      <c r="B43" s="102">
        <f t="shared" si="0"/>
        <v>34</v>
      </c>
      <c r="C43" s="103" t="s">
        <v>176</v>
      </c>
      <c r="D43" s="104" t="s">
        <v>177</v>
      </c>
      <c r="E43" s="106"/>
      <c r="F43" s="106"/>
      <c r="G43" s="102" t="s">
        <v>771</v>
      </c>
      <c r="H43" s="102" t="s">
        <v>178</v>
      </c>
      <c r="I43" s="105" t="s">
        <v>179</v>
      </c>
      <c r="J43" s="102"/>
      <c r="K43" s="106"/>
      <c r="L43" s="113"/>
      <c r="M43" s="106"/>
      <c r="N43" s="106" t="s">
        <v>180</v>
      </c>
      <c r="O43" s="106"/>
      <c r="P43" s="102"/>
      <c r="Q43" s="106"/>
      <c r="R43" s="102"/>
      <c r="S43" s="106"/>
      <c r="T43" s="102">
        <v>1</v>
      </c>
      <c r="U43" s="102">
        <v>1</v>
      </c>
      <c r="V43" s="102">
        <v>1</v>
      </c>
      <c r="W43" s="102">
        <v>1</v>
      </c>
      <c r="X43" s="102">
        <v>1</v>
      </c>
      <c r="Y43" s="102">
        <v>1</v>
      </c>
      <c r="Z43" s="102">
        <v>1</v>
      </c>
      <c r="AA43" s="106"/>
      <c r="AB43" s="106"/>
      <c r="AC43" s="106"/>
      <c r="AD43" s="106"/>
      <c r="AE43" s="106"/>
      <c r="AF43" s="106"/>
      <c r="AG43" s="106"/>
      <c r="AH43" s="106"/>
    </row>
    <row r="44" spans="1:34" s="77" customFormat="1" ht="34" customHeight="1">
      <c r="B44" s="102">
        <f t="shared" si="0"/>
        <v>35</v>
      </c>
      <c r="C44" s="103" t="s">
        <v>181</v>
      </c>
      <c r="D44" s="104" t="s">
        <v>182</v>
      </c>
      <c r="E44" s="106"/>
      <c r="F44" s="106"/>
      <c r="G44" s="102" t="s">
        <v>771</v>
      </c>
      <c r="H44" s="102" t="s">
        <v>183</v>
      </c>
      <c r="I44" s="107" t="s">
        <v>184</v>
      </c>
      <c r="J44" s="102"/>
      <c r="K44" s="106"/>
      <c r="L44" s="114"/>
      <c r="M44" s="106"/>
      <c r="N44" s="106" t="s">
        <v>185</v>
      </c>
      <c r="O44" s="106"/>
      <c r="P44" s="102"/>
      <c r="Q44" s="106"/>
      <c r="R44" s="102"/>
      <c r="S44" s="106"/>
      <c r="T44" s="102">
        <v>1</v>
      </c>
      <c r="U44" s="102">
        <v>1</v>
      </c>
      <c r="V44" s="102">
        <v>1</v>
      </c>
      <c r="W44" s="102">
        <v>1</v>
      </c>
      <c r="X44" s="102">
        <v>1</v>
      </c>
      <c r="Y44" s="102">
        <v>1</v>
      </c>
      <c r="Z44" s="102">
        <v>1</v>
      </c>
      <c r="AA44" s="106"/>
      <c r="AB44" s="106"/>
      <c r="AC44" s="106"/>
      <c r="AD44" s="106"/>
      <c r="AE44" s="106"/>
      <c r="AF44" s="106"/>
      <c r="AG44" s="106"/>
      <c r="AH44" s="106"/>
    </row>
    <row r="45" spans="1:34" s="77" customFormat="1" ht="102" customHeight="1">
      <c r="B45" s="102">
        <f t="shared" si="0"/>
        <v>36</v>
      </c>
      <c r="C45" s="103" t="s">
        <v>186</v>
      </c>
      <c r="D45" s="102" t="s">
        <v>187</v>
      </c>
      <c r="E45" s="106"/>
      <c r="F45" s="106"/>
      <c r="G45" s="102" t="s">
        <v>771</v>
      </c>
      <c r="H45" s="102" t="s">
        <v>188</v>
      </c>
      <c r="I45" s="105" t="s">
        <v>189</v>
      </c>
      <c r="J45" s="106" t="s">
        <v>47</v>
      </c>
      <c r="K45" s="106"/>
      <c r="L45" s="114" t="s">
        <v>190</v>
      </c>
      <c r="M45" s="106"/>
      <c r="N45" s="106" t="s">
        <v>191</v>
      </c>
      <c r="O45" s="106"/>
      <c r="P45" s="102"/>
      <c r="Q45" s="106"/>
      <c r="R45" s="102"/>
      <c r="S45" s="106"/>
      <c r="T45" s="102">
        <v>1</v>
      </c>
      <c r="U45" s="102">
        <v>1</v>
      </c>
      <c r="V45" s="102">
        <v>0</v>
      </c>
      <c r="W45" s="102">
        <v>0</v>
      </c>
      <c r="X45" s="102">
        <v>0</v>
      </c>
      <c r="Y45" s="102">
        <v>0</v>
      </c>
      <c r="Z45" s="102">
        <v>0</v>
      </c>
      <c r="AA45" s="106"/>
      <c r="AB45" s="106"/>
      <c r="AC45" s="106"/>
      <c r="AD45" s="106"/>
      <c r="AE45" s="106"/>
      <c r="AF45" s="106"/>
      <c r="AG45" s="106"/>
      <c r="AH45" s="106"/>
    </row>
    <row r="46" spans="1:34" s="77" customFormat="1" ht="170" customHeight="1">
      <c r="B46" s="102">
        <f t="shared" si="0"/>
        <v>37</v>
      </c>
      <c r="C46" s="103" t="s">
        <v>192</v>
      </c>
      <c r="D46" s="102" t="s">
        <v>193</v>
      </c>
      <c r="E46" s="106"/>
      <c r="F46" s="106"/>
      <c r="G46" s="102" t="s">
        <v>771</v>
      </c>
      <c r="H46" s="102" t="s">
        <v>194</v>
      </c>
      <c r="I46" s="105" t="s">
        <v>195</v>
      </c>
      <c r="J46" s="106" t="s">
        <v>47</v>
      </c>
      <c r="K46" s="106"/>
      <c r="L46" s="114" t="s">
        <v>196</v>
      </c>
      <c r="M46" s="106"/>
      <c r="N46" s="106" t="s">
        <v>197</v>
      </c>
      <c r="O46" s="106"/>
      <c r="P46" s="102"/>
      <c r="Q46" s="106"/>
      <c r="R46" s="102"/>
      <c r="S46" s="106"/>
      <c r="T46" s="102">
        <v>1</v>
      </c>
      <c r="U46" s="102">
        <v>1</v>
      </c>
      <c r="V46" s="102">
        <v>0</v>
      </c>
      <c r="W46" s="102">
        <v>0</v>
      </c>
      <c r="X46" s="102">
        <v>0</v>
      </c>
      <c r="Y46" s="102">
        <v>0</v>
      </c>
      <c r="Z46" s="102">
        <v>0</v>
      </c>
      <c r="AA46" s="106"/>
      <c r="AB46" s="106"/>
      <c r="AC46" s="106"/>
      <c r="AD46" s="106"/>
      <c r="AE46" s="106"/>
      <c r="AF46" s="106"/>
      <c r="AG46" s="106"/>
      <c r="AH46" s="106"/>
    </row>
    <row r="47" spans="1:34" s="77" customFormat="1" ht="170" customHeight="1">
      <c r="B47" s="102">
        <f t="shared" ref="B47:B79" si="1">IF(ISBLANK($D47),"",ROW()-9)</f>
        <v>38</v>
      </c>
      <c r="C47" s="103" t="s">
        <v>198</v>
      </c>
      <c r="D47" s="102" t="s">
        <v>199</v>
      </c>
      <c r="E47" s="106"/>
      <c r="F47" s="106"/>
      <c r="G47" s="102" t="s">
        <v>771</v>
      </c>
      <c r="H47" s="102" t="s">
        <v>194</v>
      </c>
      <c r="I47" s="105" t="s">
        <v>200</v>
      </c>
      <c r="J47" s="106" t="s">
        <v>47</v>
      </c>
      <c r="K47" s="106"/>
      <c r="L47" s="114" t="s">
        <v>201</v>
      </c>
      <c r="M47" s="106"/>
      <c r="N47" s="106" t="s">
        <v>202</v>
      </c>
      <c r="O47" s="106"/>
      <c r="P47" s="102"/>
      <c r="Q47" s="106"/>
      <c r="R47" s="102"/>
      <c r="S47" s="106"/>
      <c r="T47" s="102">
        <v>1</v>
      </c>
      <c r="U47" s="102">
        <v>1</v>
      </c>
      <c r="V47" s="102">
        <v>0</v>
      </c>
      <c r="W47" s="102">
        <v>0</v>
      </c>
      <c r="X47" s="102">
        <v>0</v>
      </c>
      <c r="Y47" s="102">
        <v>0</v>
      </c>
      <c r="Z47" s="102">
        <v>0</v>
      </c>
      <c r="AA47" s="106"/>
      <c r="AB47" s="106"/>
      <c r="AC47" s="106"/>
      <c r="AD47" s="106"/>
      <c r="AE47" s="106"/>
      <c r="AF47" s="106"/>
      <c r="AG47" s="106"/>
      <c r="AH47" s="106"/>
    </row>
    <row r="48" spans="1:34" s="77" customFormat="1" ht="136" customHeight="1">
      <c r="B48" s="102">
        <f t="shared" si="1"/>
        <v>39</v>
      </c>
      <c r="C48" s="103" t="s">
        <v>203</v>
      </c>
      <c r="D48" s="102" t="s">
        <v>204</v>
      </c>
      <c r="E48" s="106"/>
      <c r="F48" s="106"/>
      <c r="G48" s="102" t="s">
        <v>771</v>
      </c>
      <c r="H48" s="102" t="s">
        <v>205</v>
      </c>
      <c r="I48" s="105" t="s">
        <v>206</v>
      </c>
      <c r="J48" s="102" t="s">
        <v>47</v>
      </c>
      <c r="K48" s="106"/>
      <c r="L48" s="114" t="s">
        <v>207</v>
      </c>
      <c r="M48" s="106"/>
      <c r="N48" s="106" t="s">
        <v>208</v>
      </c>
      <c r="O48" s="106"/>
      <c r="P48" s="102"/>
      <c r="Q48" s="106"/>
      <c r="R48" s="102"/>
      <c r="S48" s="106"/>
      <c r="T48" s="102">
        <v>1</v>
      </c>
      <c r="U48" s="102">
        <v>1</v>
      </c>
      <c r="V48" s="102">
        <v>0</v>
      </c>
      <c r="W48" s="102">
        <v>0</v>
      </c>
      <c r="X48" s="102">
        <v>0</v>
      </c>
      <c r="Y48" s="102">
        <v>0</v>
      </c>
      <c r="Z48" s="102">
        <v>0</v>
      </c>
      <c r="AA48" s="106"/>
      <c r="AB48" s="106"/>
      <c r="AC48" s="106"/>
      <c r="AD48" s="106"/>
      <c r="AE48" s="106"/>
      <c r="AF48" s="106"/>
      <c r="AG48" s="106"/>
      <c r="AH48" s="106"/>
    </row>
    <row r="49" spans="2:34" s="77" customFormat="1" ht="136" customHeight="1">
      <c r="B49" s="102">
        <f t="shared" si="1"/>
        <v>40</v>
      </c>
      <c r="C49" s="103" t="s">
        <v>209</v>
      </c>
      <c r="D49" s="102" t="s">
        <v>210</v>
      </c>
      <c r="E49" s="106"/>
      <c r="F49" s="106"/>
      <c r="G49" s="102" t="s">
        <v>771</v>
      </c>
      <c r="H49" s="102" t="s">
        <v>211</v>
      </c>
      <c r="I49" s="105" t="s">
        <v>212</v>
      </c>
      <c r="J49" s="102" t="s">
        <v>47</v>
      </c>
      <c r="K49" s="106"/>
      <c r="L49" s="114" t="s">
        <v>213</v>
      </c>
      <c r="M49" s="106"/>
      <c r="N49" s="106" t="s">
        <v>214</v>
      </c>
      <c r="O49" s="106"/>
      <c r="P49" s="102"/>
      <c r="Q49" s="106"/>
      <c r="R49" s="102"/>
      <c r="S49" s="106"/>
      <c r="T49" s="102">
        <v>1</v>
      </c>
      <c r="U49" s="102">
        <v>1</v>
      </c>
      <c r="V49" s="102">
        <v>0</v>
      </c>
      <c r="W49" s="102">
        <v>0</v>
      </c>
      <c r="X49" s="102">
        <v>0</v>
      </c>
      <c r="Y49" s="102">
        <v>0</v>
      </c>
      <c r="Z49" s="102">
        <v>0</v>
      </c>
      <c r="AA49" s="106"/>
      <c r="AB49" s="106"/>
      <c r="AC49" s="106"/>
      <c r="AD49" s="106"/>
      <c r="AE49" s="106"/>
      <c r="AF49" s="106"/>
      <c r="AG49" s="106"/>
      <c r="AH49" s="106"/>
    </row>
    <row r="50" spans="2:34" s="77" customFormat="1" ht="119" customHeight="1">
      <c r="B50" s="102">
        <f t="shared" si="1"/>
        <v>41</v>
      </c>
      <c r="C50" s="103" t="s">
        <v>215</v>
      </c>
      <c r="D50" s="102" t="s">
        <v>216</v>
      </c>
      <c r="E50" s="106"/>
      <c r="F50" s="106"/>
      <c r="G50" s="102" t="s">
        <v>771</v>
      </c>
      <c r="H50" s="102" t="s">
        <v>46</v>
      </c>
      <c r="I50" s="105" t="s">
        <v>82</v>
      </c>
      <c r="J50" s="102" t="s">
        <v>47</v>
      </c>
      <c r="K50" s="106"/>
      <c r="L50" s="113" t="s">
        <v>217</v>
      </c>
      <c r="M50" s="106"/>
      <c r="N50" s="106" t="s">
        <v>218</v>
      </c>
      <c r="O50" s="106"/>
      <c r="P50" s="102"/>
      <c r="Q50" s="106"/>
      <c r="R50" s="102"/>
      <c r="S50" s="106"/>
      <c r="T50" s="102">
        <v>1</v>
      </c>
      <c r="U50" s="102">
        <v>1</v>
      </c>
      <c r="V50" s="102">
        <v>0</v>
      </c>
      <c r="W50" s="102">
        <v>0</v>
      </c>
      <c r="X50" s="102">
        <v>0</v>
      </c>
      <c r="Y50" s="102">
        <v>0</v>
      </c>
      <c r="Z50" s="102">
        <v>0</v>
      </c>
      <c r="AA50" s="106"/>
      <c r="AB50" s="106"/>
      <c r="AC50" s="106"/>
      <c r="AD50" s="106"/>
      <c r="AE50" s="106"/>
      <c r="AF50" s="106"/>
      <c r="AG50" s="106"/>
      <c r="AH50" s="106"/>
    </row>
    <row r="51" spans="2:34" s="77" customFormat="1" ht="204" customHeight="1">
      <c r="B51" s="102">
        <f t="shared" si="1"/>
        <v>42</v>
      </c>
      <c r="C51" s="103" t="s">
        <v>219</v>
      </c>
      <c r="D51" s="102" t="s">
        <v>220</v>
      </c>
      <c r="E51" s="106"/>
      <c r="F51" s="106"/>
      <c r="G51" s="102" t="s">
        <v>771</v>
      </c>
      <c r="H51" s="102" t="s">
        <v>59</v>
      </c>
      <c r="I51" s="105" t="s">
        <v>221</v>
      </c>
      <c r="J51" s="102" t="s">
        <v>47</v>
      </c>
      <c r="K51" s="106"/>
      <c r="L51" s="113" t="s">
        <v>222</v>
      </c>
      <c r="M51" s="106"/>
      <c r="N51" s="106" t="s">
        <v>223</v>
      </c>
      <c r="O51" s="106"/>
      <c r="P51" s="102"/>
      <c r="Q51" s="106"/>
      <c r="R51" s="102"/>
      <c r="S51" s="106"/>
      <c r="T51" s="102">
        <v>1</v>
      </c>
      <c r="U51" s="102">
        <v>1</v>
      </c>
      <c r="V51" s="102">
        <v>0</v>
      </c>
      <c r="W51" s="102">
        <v>0</v>
      </c>
      <c r="X51" s="102">
        <v>0</v>
      </c>
      <c r="Y51" s="102">
        <v>0</v>
      </c>
      <c r="Z51" s="102">
        <v>0</v>
      </c>
      <c r="AA51" s="106"/>
      <c r="AB51" s="106"/>
      <c r="AC51" s="106"/>
      <c r="AD51" s="106"/>
      <c r="AE51" s="106"/>
      <c r="AF51" s="106"/>
      <c r="AG51" s="106"/>
      <c r="AH51" s="106"/>
    </row>
    <row r="52" spans="2:34" s="77" customFormat="1" ht="119" customHeight="1">
      <c r="B52" s="102">
        <f t="shared" si="1"/>
        <v>43</v>
      </c>
      <c r="C52" s="103" t="s">
        <v>224</v>
      </c>
      <c r="D52" s="102" t="s">
        <v>225</v>
      </c>
      <c r="E52" s="106"/>
      <c r="F52" s="106"/>
      <c r="G52" s="102" t="s">
        <v>771</v>
      </c>
      <c r="H52" s="102" t="s">
        <v>226</v>
      </c>
      <c r="I52" s="105" t="s">
        <v>227</v>
      </c>
      <c r="J52" s="102" t="s">
        <v>47</v>
      </c>
      <c r="K52" s="106"/>
      <c r="L52" s="113" t="s">
        <v>228</v>
      </c>
      <c r="M52" s="106"/>
      <c r="N52" s="106" t="s">
        <v>229</v>
      </c>
      <c r="O52" s="106"/>
      <c r="P52" s="102"/>
      <c r="Q52" s="106"/>
      <c r="R52" s="102"/>
      <c r="S52" s="106"/>
      <c r="T52" s="102">
        <v>1</v>
      </c>
      <c r="U52" s="102">
        <v>1</v>
      </c>
      <c r="V52" s="102">
        <v>0</v>
      </c>
      <c r="W52" s="102">
        <v>0</v>
      </c>
      <c r="X52" s="102">
        <v>0</v>
      </c>
      <c r="Y52" s="102">
        <v>0</v>
      </c>
      <c r="Z52" s="102">
        <v>0</v>
      </c>
      <c r="AA52" s="106"/>
      <c r="AB52" s="106"/>
      <c r="AC52" s="106"/>
      <c r="AD52" s="106"/>
      <c r="AE52" s="106"/>
      <c r="AF52" s="106"/>
      <c r="AG52" s="106"/>
      <c r="AH52" s="106"/>
    </row>
    <row r="53" spans="2:34" s="77" customFormat="1" ht="170" customHeight="1">
      <c r="B53" s="102">
        <f t="shared" si="1"/>
        <v>44</v>
      </c>
      <c r="C53" s="103" t="s">
        <v>230</v>
      </c>
      <c r="D53" s="104" t="s">
        <v>231</v>
      </c>
      <c r="E53" s="106"/>
      <c r="F53" s="106"/>
      <c r="G53" s="102" t="s">
        <v>771</v>
      </c>
      <c r="H53" s="102" t="s">
        <v>59</v>
      </c>
      <c r="I53" s="105" t="s">
        <v>232</v>
      </c>
      <c r="J53" s="102" t="s">
        <v>47</v>
      </c>
      <c r="K53" s="106"/>
      <c r="L53" s="113" t="s">
        <v>233</v>
      </c>
      <c r="M53" s="106"/>
      <c r="N53" s="106" t="s">
        <v>234</v>
      </c>
      <c r="O53" s="106"/>
      <c r="P53" s="102"/>
      <c r="Q53" s="106"/>
      <c r="R53" s="102"/>
      <c r="S53" s="106"/>
      <c r="T53" s="102">
        <v>1</v>
      </c>
      <c r="U53" s="102">
        <v>1</v>
      </c>
      <c r="V53" s="102">
        <v>0</v>
      </c>
      <c r="W53" s="102">
        <v>0</v>
      </c>
      <c r="X53" s="102">
        <v>0</v>
      </c>
      <c r="Y53" s="102">
        <v>0</v>
      </c>
      <c r="Z53" s="102">
        <v>0</v>
      </c>
      <c r="AA53" s="106"/>
      <c r="AB53" s="106"/>
      <c r="AC53" s="106"/>
      <c r="AD53" s="106"/>
      <c r="AE53" s="106"/>
      <c r="AF53" s="106"/>
      <c r="AG53" s="106"/>
      <c r="AH53" s="106"/>
    </row>
    <row r="54" spans="2:34" s="77" customFormat="1" ht="136" customHeight="1">
      <c r="B54" s="102">
        <f t="shared" si="1"/>
        <v>45</v>
      </c>
      <c r="C54" s="103" t="s">
        <v>235</v>
      </c>
      <c r="D54" s="104" t="s">
        <v>236</v>
      </c>
      <c r="E54" s="106"/>
      <c r="F54" s="106"/>
      <c r="G54" s="102" t="s">
        <v>771</v>
      </c>
      <c r="H54" s="102" t="s">
        <v>237</v>
      </c>
      <c r="I54" s="105" t="s">
        <v>238</v>
      </c>
      <c r="J54" s="102" t="s">
        <v>47</v>
      </c>
      <c r="K54" s="106"/>
      <c r="L54" s="114" t="s">
        <v>239</v>
      </c>
      <c r="M54" s="106"/>
      <c r="N54" s="106" t="s">
        <v>240</v>
      </c>
      <c r="O54" s="106"/>
      <c r="P54" s="102"/>
      <c r="Q54" s="106"/>
      <c r="R54" s="102"/>
      <c r="S54" s="106"/>
      <c r="T54" s="102">
        <v>1</v>
      </c>
      <c r="U54" s="102">
        <v>1</v>
      </c>
      <c r="V54" s="102">
        <v>0</v>
      </c>
      <c r="W54" s="102">
        <v>0</v>
      </c>
      <c r="X54" s="102">
        <v>0</v>
      </c>
      <c r="Y54" s="102">
        <v>0</v>
      </c>
      <c r="Z54" s="102">
        <v>0</v>
      </c>
      <c r="AA54" s="106"/>
      <c r="AB54" s="106"/>
      <c r="AC54" s="106"/>
      <c r="AD54" s="106"/>
      <c r="AE54" s="106"/>
      <c r="AF54" s="106"/>
      <c r="AG54" s="106"/>
      <c r="AH54" s="106"/>
    </row>
    <row r="55" spans="2:34" s="77" customFormat="1" ht="136" customHeight="1">
      <c r="B55" s="102">
        <f t="shared" si="1"/>
        <v>46</v>
      </c>
      <c r="C55" s="103" t="s">
        <v>241</v>
      </c>
      <c r="D55" s="104" t="s">
        <v>242</v>
      </c>
      <c r="E55" s="106"/>
      <c r="F55" s="106"/>
      <c r="G55" s="102" t="s">
        <v>771</v>
      </c>
      <c r="H55" s="102" t="s">
        <v>243</v>
      </c>
      <c r="I55" s="105" t="s">
        <v>244</v>
      </c>
      <c r="J55" s="102" t="s">
        <v>47</v>
      </c>
      <c r="K55" s="106"/>
      <c r="L55" s="114" t="s">
        <v>245</v>
      </c>
      <c r="M55" s="106"/>
      <c r="N55" s="106" t="s">
        <v>246</v>
      </c>
      <c r="O55" s="106"/>
      <c r="P55" s="102"/>
      <c r="Q55" s="106"/>
      <c r="R55" s="102"/>
      <c r="S55" s="106"/>
      <c r="T55" s="102">
        <v>1</v>
      </c>
      <c r="U55" s="102">
        <v>1</v>
      </c>
      <c r="V55" s="102">
        <v>0</v>
      </c>
      <c r="W55" s="102">
        <v>0</v>
      </c>
      <c r="X55" s="102">
        <v>0</v>
      </c>
      <c r="Y55" s="102">
        <v>0</v>
      </c>
      <c r="Z55" s="102">
        <v>0</v>
      </c>
      <c r="AA55" s="106"/>
      <c r="AB55" s="106"/>
      <c r="AC55" s="106"/>
      <c r="AD55" s="106"/>
      <c r="AE55" s="106"/>
      <c r="AF55" s="106"/>
      <c r="AG55" s="106"/>
      <c r="AH55" s="106"/>
    </row>
    <row r="56" spans="2:34" s="77" customFormat="1" ht="187" customHeight="1">
      <c r="B56" s="102">
        <f t="shared" si="1"/>
        <v>47</v>
      </c>
      <c r="C56" s="103" t="s">
        <v>247</v>
      </c>
      <c r="D56" s="104" t="s">
        <v>248</v>
      </c>
      <c r="E56" s="106"/>
      <c r="F56" s="106"/>
      <c r="G56" s="102" t="s">
        <v>771</v>
      </c>
      <c r="H56" s="102" t="s">
        <v>249</v>
      </c>
      <c r="I56" s="105" t="s">
        <v>250</v>
      </c>
      <c r="J56" s="102" t="s">
        <v>47</v>
      </c>
      <c r="K56" s="106"/>
      <c r="L56" s="114" t="s">
        <v>251</v>
      </c>
      <c r="M56" s="106"/>
      <c r="N56" s="106" t="s">
        <v>252</v>
      </c>
      <c r="O56" s="106"/>
      <c r="P56" s="102"/>
      <c r="Q56" s="106"/>
      <c r="R56" s="102"/>
      <c r="S56" s="106"/>
      <c r="T56" s="102">
        <v>1</v>
      </c>
      <c r="U56" s="102">
        <v>1</v>
      </c>
      <c r="V56" s="102">
        <v>0</v>
      </c>
      <c r="W56" s="102">
        <v>0</v>
      </c>
      <c r="X56" s="102">
        <v>0</v>
      </c>
      <c r="Y56" s="102">
        <v>0</v>
      </c>
      <c r="Z56" s="102">
        <v>0</v>
      </c>
      <c r="AA56" s="106"/>
      <c r="AB56" s="106"/>
      <c r="AC56" s="106"/>
      <c r="AD56" s="106"/>
      <c r="AE56" s="106"/>
      <c r="AF56" s="106"/>
      <c r="AG56" s="106"/>
      <c r="AH56" s="106"/>
    </row>
    <row r="57" spans="2:34" s="77" customFormat="1" ht="119" customHeight="1">
      <c r="B57" s="102">
        <f t="shared" si="1"/>
        <v>48</v>
      </c>
      <c r="C57" s="103" t="s">
        <v>253</v>
      </c>
      <c r="D57" s="104" t="s">
        <v>254</v>
      </c>
      <c r="E57" s="106"/>
      <c r="F57" s="106"/>
      <c r="G57" s="102" t="s">
        <v>771</v>
      </c>
      <c r="H57" s="102" t="s">
        <v>255</v>
      </c>
      <c r="I57" s="105" t="s">
        <v>256</v>
      </c>
      <c r="J57" s="102" t="s">
        <v>47</v>
      </c>
      <c r="K57" s="106"/>
      <c r="L57" s="113" t="s">
        <v>257</v>
      </c>
      <c r="M57" s="106"/>
      <c r="N57" s="106" t="s">
        <v>258</v>
      </c>
      <c r="O57" s="106"/>
      <c r="P57" s="102"/>
      <c r="Q57" s="106"/>
      <c r="R57" s="102"/>
      <c r="S57" s="106"/>
      <c r="T57" s="102">
        <v>1</v>
      </c>
      <c r="U57" s="102">
        <v>1</v>
      </c>
      <c r="V57" s="102">
        <v>0</v>
      </c>
      <c r="W57" s="102">
        <v>0</v>
      </c>
      <c r="X57" s="102">
        <v>0</v>
      </c>
      <c r="Y57" s="102">
        <v>0</v>
      </c>
      <c r="Z57" s="102">
        <v>0</v>
      </c>
      <c r="AA57" s="106"/>
      <c r="AB57" s="106"/>
      <c r="AC57" s="106"/>
      <c r="AD57" s="106"/>
      <c r="AE57" s="106"/>
      <c r="AF57" s="106"/>
      <c r="AG57" s="106"/>
      <c r="AH57" s="106"/>
    </row>
    <row r="58" spans="2:34" s="77" customFormat="1" ht="119" customHeight="1">
      <c r="B58" s="102">
        <f t="shared" si="1"/>
        <v>49</v>
      </c>
      <c r="C58" s="103" t="s">
        <v>259</v>
      </c>
      <c r="D58" s="104" t="s">
        <v>260</v>
      </c>
      <c r="E58" s="106"/>
      <c r="F58" s="106"/>
      <c r="G58" s="102" t="s">
        <v>771</v>
      </c>
      <c r="H58" s="102" t="s">
        <v>261</v>
      </c>
      <c r="I58" s="105" t="s">
        <v>262</v>
      </c>
      <c r="J58" s="102" t="s">
        <v>47</v>
      </c>
      <c r="K58" s="106"/>
      <c r="L58" s="114" t="s">
        <v>263</v>
      </c>
      <c r="M58" s="106"/>
      <c r="N58" s="106" t="s">
        <v>264</v>
      </c>
      <c r="O58" s="106"/>
      <c r="P58" s="102"/>
      <c r="Q58" s="106"/>
      <c r="R58" s="102"/>
      <c r="S58" s="106"/>
      <c r="T58" s="102">
        <v>1</v>
      </c>
      <c r="U58" s="102">
        <v>1</v>
      </c>
      <c r="V58" s="102">
        <v>0</v>
      </c>
      <c r="W58" s="102">
        <v>0</v>
      </c>
      <c r="X58" s="102">
        <v>0</v>
      </c>
      <c r="Y58" s="102">
        <v>0</v>
      </c>
      <c r="Z58" s="102">
        <v>0</v>
      </c>
      <c r="AA58" s="106"/>
      <c r="AB58" s="106"/>
      <c r="AC58" s="106"/>
      <c r="AD58" s="106"/>
      <c r="AE58" s="106"/>
      <c r="AF58" s="106"/>
      <c r="AG58" s="106"/>
      <c r="AH58" s="106"/>
    </row>
    <row r="59" spans="2:34" s="77" customFormat="1" ht="119" customHeight="1">
      <c r="B59" s="102">
        <f t="shared" si="1"/>
        <v>50</v>
      </c>
      <c r="C59" s="103" t="s">
        <v>265</v>
      </c>
      <c r="D59" s="104" t="s">
        <v>266</v>
      </c>
      <c r="E59" s="106"/>
      <c r="F59" s="106"/>
      <c r="G59" s="102" t="s">
        <v>771</v>
      </c>
      <c r="H59" s="102" t="s">
        <v>267</v>
      </c>
      <c r="I59" s="105" t="s">
        <v>268</v>
      </c>
      <c r="J59" s="102" t="s">
        <v>47</v>
      </c>
      <c r="K59" s="106"/>
      <c r="L59" s="114" t="s">
        <v>269</v>
      </c>
      <c r="M59" s="106"/>
      <c r="N59" s="106" t="s">
        <v>270</v>
      </c>
      <c r="O59" s="106"/>
      <c r="P59" s="102"/>
      <c r="Q59" s="106"/>
      <c r="R59" s="102"/>
      <c r="S59" s="106"/>
      <c r="T59" s="102">
        <v>1</v>
      </c>
      <c r="U59" s="102">
        <v>1</v>
      </c>
      <c r="V59" s="102">
        <v>0</v>
      </c>
      <c r="W59" s="102">
        <v>0</v>
      </c>
      <c r="X59" s="102">
        <v>0</v>
      </c>
      <c r="Y59" s="102">
        <v>0</v>
      </c>
      <c r="Z59" s="102">
        <v>0</v>
      </c>
      <c r="AA59" s="106"/>
      <c r="AB59" s="106"/>
      <c r="AC59" s="106"/>
      <c r="AD59" s="106"/>
      <c r="AE59" s="106"/>
      <c r="AF59" s="106"/>
      <c r="AG59" s="106"/>
      <c r="AH59" s="106"/>
    </row>
    <row r="60" spans="2:34" s="77" customFormat="1" ht="136" customHeight="1">
      <c r="B60" s="102">
        <f t="shared" si="1"/>
        <v>51</v>
      </c>
      <c r="C60" s="103" t="s">
        <v>271</v>
      </c>
      <c r="D60" s="104" t="s">
        <v>272</v>
      </c>
      <c r="E60" s="106"/>
      <c r="F60" s="106"/>
      <c r="G60" s="102" t="s">
        <v>771</v>
      </c>
      <c r="H60" s="102" t="s">
        <v>273</v>
      </c>
      <c r="I60" s="105" t="s">
        <v>274</v>
      </c>
      <c r="J60" s="102" t="s">
        <v>47</v>
      </c>
      <c r="K60" s="106"/>
      <c r="L60" s="114" t="s">
        <v>275</v>
      </c>
      <c r="M60" s="106"/>
      <c r="N60" s="106" t="s">
        <v>276</v>
      </c>
      <c r="O60" s="106"/>
      <c r="P60" s="102"/>
      <c r="Q60" s="106"/>
      <c r="R60" s="102"/>
      <c r="S60" s="106"/>
      <c r="T60" s="102">
        <v>1</v>
      </c>
      <c r="U60" s="102">
        <v>1</v>
      </c>
      <c r="V60" s="102">
        <v>0</v>
      </c>
      <c r="W60" s="102">
        <v>0</v>
      </c>
      <c r="X60" s="102">
        <v>0</v>
      </c>
      <c r="Y60" s="102">
        <v>0</v>
      </c>
      <c r="Z60" s="102">
        <v>0</v>
      </c>
      <c r="AA60" s="106"/>
      <c r="AB60" s="106"/>
      <c r="AC60" s="106"/>
      <c r="AD60" s="106"/>
      <c r="AE60" s="106"/>
      <c r="AF60" s="106"/>
      <c r="AG60" s="106"/>
      <c r="AH60" s="106"/>
    </row>
    <row r="61" spans="2:34" s="77" customFormat="1" ht="170" customHeight="1">
      <c r="B61" s="102">
        <f t="shared" si="1"/>
        <v>52</v>
      </c>
      <c r="C61" s="103" t="s">
        <v>277</v>
      </c>
      <c r="D61" s="104" t="s">
        <v>278</v>
      </c>
      <c r="E61" s="106"/>
      <c r="F61" s="106"/>
      <c r="G61" s="102" t="s">
        <v>771</v>
      </c>
      <c r="H61" s="102" t="s">
        <v>279</v>
      </c>
      <c r="I61" s="105" t="s">
        <v>280</v>
      </c>
      <c r="J61" s="102" t="s">
        <v>47</v>
      </c>
      <c r="K61" s="106"/>
      <c r="L61" s="114" t="s">
        <v>281</v>
      </c>
      <c r="M61" s="106"/>
      <c r="N61" s="106" t="s">
        <v>282</v>
      </c>
      <c r="O61" s="106"/>
      <c r="P61" s="102"/>
      <c r="Q61" s="106"/>
      <c r="R61" s="102"/>
      <c r="S61" s="106"/>
      <c r="T61" s="102">
        <v>1</v>
      </c>
      <c r="U61" s="102">
        <v>1</v>
      </c>
      <c r="V61" s="102">
        <v>0</v>
      </c>
      <c r="W61" s="102">
        <v>0</v>
      </c>
      <c r="X61" s="102">
        <v>0</v>
      </c>
      <c r="Y61" s="102">
        <v>0</v>
      </c>
      <c r="Z61" s="102">
        <v>0</v>
      </c>
      <c r="AA61" s="106"/>
      <c r="AB61" s="106"/>
      <c r="AC61" s="106"/>
      <c r="AD61" s="106"/>
      <c r="AE61" s="106"/>
      <c r="AF61" s="106"/>
      <c r="AG61" s="106"/>
      <c r="AH61" s="106"/>
    </row>
    <row r="62" spans="2:34" s="77" customFormat="1" ht="102" customHeight="1">
      <c r="B62" s="102">
        <f t="shared" si="1"/>
        <v>53</v>
      </c>
      <c r="C62" s="103" t="s">
        <v>283</v>
      </c>
      <c r="D62" s="104" t="s">
        <v>284</v>
      </c>
      <c r="E62" s="106"/>
      <c r="F62" s="106"/>
      <c r="G62" s="102" t="s">
        <v>771</v>
      </c>
      <c r="H62" s="102" t="s">
        <v>267</v>
      </c>
      <c r="I62" s="105" t="s">
        <v>285</v>
      </c>
      <c r="J62" s="102" t="s">
        <v>47</v>
      </c>
      <c r="K62" s="106"/>
      <c r="L62" s="113" t="s">
        <v>286</v>
      </c>
      <c r="M62" s="106"/>
      <c r="N62" s="106" t="s">
        <v>287</v>
      </c>
      <c r="O62" s="106"/>
      <c r="P62" s="102"/>
      <c r="Q62" s="106"/>
      <c r="R62" s="102"/>
      <c r="S62" s="106"/>
      <c r="T62" s="102">
        <v>1</v>
      </c>
      <c r="U62" s="102">
        <v>1</v>
      </c>
      <c r="V62" s="102">
        <v>0</v>
      </c>
      <c r="W62" s="102">
        <v>0</v>
      </c>
      <c r="X62" s="102">
        <v>0</v>
      </c>
      <c r="Y62" s="102">
        <v>0</v>
      </c>
      <c r="Z62" s="102">
        <v>0</v>
      </c>
      <c r="AA62" s="106"/>
      <c r="AB62" s="106"/>
      <c r="AC62" s="106"/>
      <c r="AD62" s="106"/>
      <c r="AE62" s="106"/>
      <c r="AF62" s="106"/>
      <c r="AG62" s="106"/>
      <c r="AH62" s="106"/>
    </row>
    <row r="63" spans="2:34" s="77" customFormat="1" ht="102" customHeight="1">
      <c r="B63" s="102">
        <f t="shared" si="1"/>
        <v>54</v>
      </c>
      <c r="C63" s="103" t="s">
        <v>288</v>
      </c>
      <c r="D63" s="104" t="s">
        <v>289</v>
      </c>
      <c r="E63" s="106"/>
      <c r="F63" s="106"/>
      <c r="G63" s="102" t="s">
        <v>771</v>
      </c>
      <c r="H63" s="102" t="s">
        <v>279</v>
      </c>
      <c r="I63" s="105" t="s">
        <v>290</v>
      </c>
      <c r="J63" s="102" t="s">
        <v>47</v>
      </c>
      <c r="K63" s="106"/>
      <c r="L63" s="113" t="s">
        <v>291</v>
      </c>
      <c r="M63" s="106"/>
      <c r="N63" s="106" t="s">
        <v>292</v>
      </c>
      <c r="O63" s="106"/>
      <c r="P63" s="102"/>
      <c r="Q63" s="106"/>
      <c r="R63" s="102"/>
      <c r="S63" s="106"/>
      <c r="T63" s="102">
        <v>1</v>
      </c>
      <c r="U63" s="102">
        <v>1</v>
      </c>
      <c r="V63" s="102">
        <v>0</v>
      </c>
      <c r="W63" s="102">
        <v>0</v>
      </c>
      <c r="X63" s="102">
        <v>0</v>
      </c>
      <c r="Y63" s="102">
        <v>0</v>
      </c>
      <c r="Z63" s="102">
        <v>0</v>
      </c>
      <c r="AA63" s="106"/>
      <c r="AB63" s="106"/>
      <c r="AC63" s="106"/>
      <c r="AD63" s="106"/>
      <c r="AE63" s="106"/>
      <c r="AF63" s="106"/>
      <c r="AG63" s="106"/>
      <c r="AH63" s="106"/>
    </row>
    <row r="64" spans="2:34" s="77" customFormat="1" ht="119" customHeight="1">
      <c r="B64" s="102">
        <f t="shared" si="1"/>
        <v>55</v>
      </c>
      <c r="C64" s="103" t="s">
        <v>293</v>
      </c>
      <c r="D64" s="104" t="s">
        <v>294</v>
      </c>
      <c r="E64" s="106"/>
      <c r="F64" s="106"/>
      <c r="G64" s="102" t="s">
        <v>771</v>
      </c>
      <c r="H64" s="102" t="s">
        <v>279</v>
      </c>
      <c r="I64" s="107" t="s">
        <v>295</v>
      </c>
      <c r="J64" s="102" t="s">
        <v>47</v>
      </c>
      <c r="K64" s="106"/>
      <c r="L64" s="113" t="s">
        <v>296</v>
      </c>
      <c r="M64" s="106"/>
      <c r="N64" s="106" t="s">
        <v>297</v>
      </c>
      <c r="O64" s="106"/>
      <c r="P64" s="102"/>
      <c r="Q64" s="106"/>
      <c r="R64" s="102"/>
      <c r="S64" s="106"/>
      <c r="T64" s="102">
        <v>1</v>
      </c>
      <c r="U64" s="102">
        <v>1</v>
      </c>
      <c r="V64" s="102">
        <v>0</v>
      </c>
      <c r="W64" s="102">
        <v>0</v>
      </c>
      <c r="X64" s="102">
        <v>0</v>
      </c>
      <c r="Y64" s="102">
        <v>0</v>
      </c>
      <c r="Z64" s="102">
        <v>0</v>
      </c>
      <c r="AA64" s="106"/>
      <c r="AB64" s="106"/>
      <c r="AC64" s="106"/>
      <c r="AD64" s="106"/>
      <c r="AE64" s="106"/>
      <c r="AF64" s="106"/>
      <c r="AG64" s="106"/>
      <c r="AH64" s="106"/>
    </row>
    <row r="65" spans="2:34" s="77" customFormat="1" ht="119" customHeight="1">
      <c r="B65" s="102">
        <f t="shared" si="1"/>
        <v>56</v>
      </c>
      <c r="C65" s="103" t="s">
        <v>298</v>
      </c>
      <c r="D65" s="104" t="s">
        <v>299</v>
      </c>
      <c r="E65" s="106"/>
      <c r="F65" s="106"/>
      <c r="G65" s="102" t="s">
        <v>771</v>
      </c>
      <c r="H65" s="102" t="s">
        <v>273</v>
      </c>
      <c r="I65" s="107" t="s">
        <v>300</v>
      </c>
      <c r="J65" s="102" t="s">
        <v>47</v>
      </c>
      <c r="K65" s="106"/>
      <c r="L65" s="113" t="s">
        <v>301</v>
      </c>
      <c r="M65" s="106"/>
      <c r="N65" s="106" t="s">
        <v>302</v>
      </c>
      <c r="O65" s="106"/>
      <c r="P65" s="102"/>
      <c r="Q65" s="106"/>
      <c r="R65" s="102"/>
      <c r="S65" s="106"/>
      <c r="T65" s="102">
        <v>1</v>
      </c>
      <c r="U65" s="102">
        <v>1</v>
      </c>
      <c r="V65" s="102">
        <v>0</v>
      </c>
      <c r="W65" s="102">
        <v>0</v>
      </c>
      <c r="X65" s="102">
        <v>0</v>
      </c>
      <c r="Y65" s="102">
        <v>0</v>
      </c>
      <c r="Z65" s="102">
        <v>0</v>
      </c>
      <c r="AA65" s="106"/>
      <c r="AB65" s="106"/>
      <c r="AC65" s="106"/>
      <c r="AD65" s="106"/>
      <c r="AE65" s="106"/>
      <c r="AF65" s="106"/>
      <c r="AG65" s="106"/>
      <c r="AH65" s="106"/>
    </row>
    <row r="66" spans="2:34" s="77" customFormat="1" ht="136" customHeight="1">
      <c r="B66" s="102">
        <f t="shared" si="1"/>
        <v>57</v>
      </c>
      <c r="C66" s="103" t="s">
        <v>303</v>
      </c>
      <c r="D66" s="104" t="s">
        <v>304</v>
      </c>
      <c r="E66" s="106"/>
      <c r="F66" s="106"/>
      <c r="G66" s="102" t="s">
        <v>771</v>
      </c>
      <c r="H66" s="102" t="s">
        <v>255</v>
      </c>
      <c r="I66" s="105" t="s">
        <v>244</v>
      </c>
      <c r="J66" s="102" t="s">
        <v>47</v>
      </c>
      <c r="K66" s="106"/>
      <c r="L66" s="113" t="s">
        <v>305</v>
      </c>
      <c r="M66" s="106"/>
      <c r="N66" s="106" t="s">
        <v>306</v>
      </c>
      <c r="O66" s="106"/>
      <c r="P66" s="102"/>
      <c r="Q66" s="106"/>
      <c r="R66" s="102"/>
      <c r="S66" s="106"/>
      <c r="T66" s="102">
        <v>1</v>
      </c>
      <c r="U66" s="102">
        <v>1</v>
      </c>
      <c r="V66" s="102">
        <v>0</v>
      </c>
      <c r="W66" s="102">
        <v>0</v>
      </c>
      <c r="X66" s="102">
        <v>0</v>
      </c>
      <c r="Y66" s="102">
        <v>0</v>
      </c>
      <c r="Z66" s="102">
        <v>0</v>
      </c>
      <c r="AA66" s="106"/>
      <c r="AB66" s="106"/>
      <c r="AC66" s="106"/>
      <c r="AD66" s="106"/>
      <c r="AE66" s="106"/>
      <c r="AF66" s="106"/>
      <c r="AG66" s="106"/>
      <c r="AH66" s="106"/>
    </row>
    <row r="67" spans="2:34" s="77" customFormat="1" ht="153" customHeight="1">
      <c r="B67" s="102">
        <f t="shared" si="1"/>
        <v>58</v>
      </c>
      <c r="C67" s="103" t="s">
        <v>307</v>
      </c>
      <c r="D67" s="104" t="s">
        <v>308</v>
      </c>
      <c r="E67" s="106"/>
      <c r="F67" s="106"/>
      <c r="G67" s="102" t="s">
        <v>771</v>
      </c>
      <c r="H67" s="102" t="s">
        <v>273</v>
      </c>
      <c r="I67" s="105" t="s">
        <v>309</v>
      </c>
      <c r="J67" s="102" t="s">
        <v>47</v>
      </c>
      <c r="K67" s="106"/>
      <c r="L67" s="113" t="s">
        <v>310</v>
      </c>
      <c r="M67" s="106"/>
      <c r="N67" s="106" t="s">
        <v>311</v>
      </c>
      <c r="O67" s="106"/>
      <c r="P67" s="102"/>
      <c r="Q67" s="106"/>
      <c r="R67" s="102"/>
      <c r="S67" s="106"/>
      <c r="T67" s="102">
        <v>1</v>
      </c>
      <c r="U67" s="102">
        <v>1</v>
      </c>
      <c r="V67" s="102">
        <v>0</v>
      </c>
      <c r="W67" s="102">
        <v>0</v>
      </c>
      <c r="X67" s="102">
        <v>0</v>
      </c>
      <c r="Y67" s="102">
        <v>0</v>
      </c>
      <c r="Z67" s="102">
        <v>0</v>
      </c>
      <c r="AA67" s="106"/>
      <c r="AB67" s="106"/>
      <c r="AC67" s="106"/>
      <c r="AD67" s="106"/>
      <c r="AE67" s="106"/>
      <c r="AF67" s="106"/>
      <c r="AG67" s="106"/>
      <c r="AH67" s="106"/>
    </row>
    <row r="68" spans="2:34" s="77" customFormat="1" ht="136" customHeight="1">
      <c r="B68" s="102">
        <f t="shared" si="1"/>
        <v>59</v>
      </c>
      <c r="C68" s="103" t="s">
        <v>312</v>
      </c>
      <c r="D68" s="104" t="s">
        <v>313</v>
      </c>
      <c r="E68" s="106"/>
      <c r="F68" s="106"/>
      <c r="G68" s="102" t="s">
        <v>771</v>
      </c>
      <c r="H68" s="102" t="s">
        <v>255</v>
      </c>
      <c r="I68" s="105" t="s">
        <v>244</v>
      </c>
      <c r="J68" s="102" t="s">
        <v>47</v>
      </c>
      <c r="K68" s="106"/>
      <c r="L68" s="113" t="s">
        <v>314</v>
      </c>
      <c r="M68" s="106"/>
      <c r="N68" s="106" t="s">
        <v>315</v>
      </c>
      <c r="O68" s="106"/>
      <c r="P68" s="102"/>
      <c r="Q68" s="106"/>
      <c r="R68" s="102"/>
      <c r="S68" s="106"/>
      <c r="T68" s="102">
        <v>1</v>
      </c>
      <c r="U68" s="102">
        <v>1</v>
      </c>
      <c r="V68" s="102">
        <v>0</v>
      </c>
      <c r="W68" s="102">
        <v>0</v>
      </c>
      <c r="X68" s="102">
        <v>0</v>
      </c>
      <c r="Y68" s="102">
        <v>0</v>
      </c>
      <c r="Z68" s="102">
        <v>0</v>
      </c>
      <c r="AA68" s="106"/>
      <c r="AB68" s="106"/>
      <c r="AC68" s="106"/>
      <c r="AD68" s="106"/>
      <c r="AE68" s="106"/>
      <c r="AF68" s="106"/>
      <c r="AG68" s="106"/>
      <c r="AH68" s="106"/>
    </row>
    <row r="69" spans="2:34" s="77" customFormat="1" ht="102" customHeight="1">
      <c r="B69" s="102">
        <f t="shared" si="1"/>
        <v>60</v>
      </c>
      <c r="C69" s="103" t="s">
        <v>316</v>
      </c>
      <c r="D69" s="104" t="s">
        <v>317</v>
      </c>
      <c r="E69" s="106"/>
      <c r="F69" s="106"/>
      <c r="G69" s="102" t="s">
        <v>771</v>
      </c>
      <c r="H69" s="102" t="s">
        <v>273</v>
      </c>
      <c r="I69" s="105" t="s">
        <v>318</v>
      </c>
      <c r="J69" s="102" t="s">
        <v>47</v>
      </c>
      <c r="K69" s="106"/>
      <c r="L69" s="113" t="s">
        <v>319</v>
      </c>
      <c r="M69" s="106"/>
      <c r="N69" s="106" t="s">
        <v>320</v>
      </c>
      <c r="O69" s="106"/>
      <c r="P69" s="102"/>
      <c r="Q69" s="106"/>
      <c r="R69" s="102"/>
      <c r="S69" s="106"/>
      <c r="T69" s="102">
        <v>1</v>
      </c>
      <c r="U69" s="102">
        <v>1</v>
      </c>
      <c r="V69" s="102">
        <v>0</v>
      </c>
      <c r="W69" s="102">
        <v>0</v>
      </c>
      <c r="X69" s="102">
        <v>0</v>
      </c>
      <c r="Y69" s="102">
        <v>0</v>
      </c>
      <c r="Z69" s="102">
        <v>0</v>
      </c>
      <c r="AA69" s="106"/>
      <c r="AB69" s="106"/>
      <c r="AC69" s="106"/>
      <c r="AD69" s="106"/>
      <c r="AE69" s="106"/>
      <c r="AF69" s="106"/>
      <c r="AG69" s="106"/>
      <c r="AH69" s="106"/>
    </row>
    <row r="70" spans="2:34" s="77" customFormat="1" ht="102" customHeight="1">
      <c r="B70" s="102">
        <f t="shared" si="1"/>
        <v>61</v>
      </c>
      <c r="C70" s="103" t="s">
        <v>321</v>
      </c>
      <c r="D70" s="104" t="s">
        <v>322</v>
      </c>
      <c r="E70" s="106"/>
      <c r="F70" s="106"/>
      <c r="G70" s="102" t="s">
        <v>771</v>
      </c>
      <c r="H70" s="106" t="s">
        <v>323</v>
      </c>
      <c r="I70" s="105" t="s">
        <v>324</v>
      </c>
      <c r="J70" s="102" t="s">
        <v>47</v>
      </c>
      <c r="K70" s="106"/>
      <c r="L70" s="114" t="s">
        <v>325</v>
      </c>
      <c r="M70" s="106"/>
      <c r="N70" s="106" t="s">
        <v>326</v>
      </c>
      <c r="O70" s="106"/>
      <c r="P70" s="102"/>
      <c r="Q70" s="106"/>
      <c r="R70" s="102"/>
      <c r="S70" s="106"/>
      <c r="T70" s="102">
        <v>1</v>
      </c>
      <c r="U70" s="102">
        <v>1</v>
      </c>
      <c r="V70" s="102">
        <v>0</v>
      </c>
      <c r="W70" s="102">
        <v>0</v>
      </c>
      <c r="X70" s="102">
        <v>0</v>
      </c>
      <c r="Y70" s="102">
        <v>0</v>
      </c>
      <c r="Z70" s="102">
        <v>0</v>
      </c>
      <c r="AA70" s="106"/>
      <c r="AB70" s="106"/>
      <c r="AC70" s="106"/>
      <c r="AD70" s="106"/>
      <c r="AE70" s="106"/>
      <c r="AF70" s="106"/>
      <c r="AG70" s="106"/>
      <c r="AH70" s="106"/>
    </row>
    <row r="71" spans="2:34" s="77" customFormat="1" ht="102" customHeight="1">
      <c r="B71" s="102">
        <f t="shared" si="1"/>
        <v>62</v>
      </c>
      <c r="C71" s="103" t="s">
        <v>327</v>
      </c>
      <c r="D71" s="104" t="s">
        <v>328</v>
      </c>
      <c r="E71" s="106"/>
      <c r="F71" s="106"/>
      <c r="G71" s="102" t="s">
        <v>771</v>
      </c>
      <c r="H71" s="106" t="s">
        <v>323</v>
      </c>
      <c r="I71" s="105" t="s">
        <v>329</v>
      </c>
      <c r="J71" s="102" t="s">
        <v>47</v>
      </c>
      <c r="K71" s="106"/>
      <c r="L71" s="113" t="s">
        <v>330</v>
      </c>
      <c r="M71" s="106"/>
      <c r="N71" s="106" t="s">
        <v>331</v>
      </c>
      <c r="O71" s="106"/>
      <c r="P71" s="102"/>
      <c r="Q71" s="106"/>
      <c r="R71" s="102"/>
      <c r="S71" s="106"/>
      <c r="T71" s="102">
        <v>1</v>
      </c>
      <c r="U71" s="102">
        <v>1</v>
      </c>
      <c r="V71" s="102">
        <v>0</v>
      </c>
      <c r="W71" s="102">
        <v>0</v>
      </c>
      <c r="X71" s="102">
        <v>0</v>
      </c>
      <c r="Y71" s="102">
        <v>0</v>
      </c>
      <c r="Z71" s="102">
        <v>0</v>
      </c>
      <c r="AA71" s="106"/>
      <c r="AB71" s="106"/>
      <c r="AC71" s="106"/>
      <c r="AD71" s="106"/>
      <c r="AE71" s="106"/>
      <c r="AF71" s="106"/>
      <c r="AG71" s="106"/>
      <c r="AH71" s="106"/>
    </row>
    <row r="72" spans="2:34" s="77" customFormat="1" ht="102" customHeight="1">
      <c r="B72" s="102">
        <f t="shared" si="1"/>
        <v>63</v>
      </c>
      <c r="C72" s="103" t="s">
        <v>332</v>
      </c>
      <c r="D72" s="104" t="s">
        <v>333</v>
      </c>
      <c r="E72" s="106"/>
      <c r="F72" s="106"/>
      <c r="G72" s="102" t="s">
        <v>771</v>
      </c>
      <c r="H72" s="106" t="s">
        <v>323</v>
      </c>
      <c r="I72" s="105" t="s">
        <v>334</v>
      </c>
      <c r="J72" s="102" t="s">
        <v>47</v>
      </c>
      <c r="K72" s="106"/>
      <c r="L72" s="113" t="s">
        <v>335</v>
      </c>
      <c r="M72" s="106"/>
      <c r="N72" s="106" t="s">
        <v>336</v>
      </c>
      <c r="O72" s="106"/>
      <c r="P72" s="102"/>
      <c r="Q72" s="106"/>
      <c r="R72" s="102"/>
      <c r="S72" s="106"/>
      <c r="T72" s="102">
        <v>1</v>
      </c>
      <c r="U72" s="102">
        <v>1</v>
      </c>
      <c r="V72" s="102">
        <v>0</v>
      </c>
      <c r="W72" s="102">
        <v>0</v>
      </c>
      <c r="X72" s="102">
        <v>0</v>
      </c>
      <c r="Y72" s="102">
        <v>0</v>
      </c>
      <c r="Z72" s="102">
        <v>0</v>
      </c>
      <c r="AA72" s="106"/>
      <c r="AB72" s="106"/>
      <c r="AC72" s="106"/>
      <c r="AD72" s="106"/>
      <c r="AE72" s="106"/>
      <c r="AF72" s="106"/>
      <c r="AG72" s="106"/>
      <c r="AH72" s="106"/>
    </row>
    <row r="73" spans="2:34" s="77" customFormat="1" ht="204" customHeight="1">
      <c r="B73" s="102">
        <f t="shared" si="1"/>
        <v>64</v>
      </c>
      <c r="C73" s="103" t="s">
        <v>337</v>
      </c>
      <c r="D73" s="104" t="s">
        <v>338</v>
      </c>
      <c r="E73" s="106"/>
      <c r="F73" s="106"/>
      <c r="G73" s="102" t="s">
        <v>771</v>
      </c>
      <c r="H73" s="106" t="s">
        <v>339</v>
      </c>
      <c r="I73" s="105" t="s">
        <v>340</v>
      </c>
      <c r="J73" s="102" t="s">
        <v>47</v>
      </c>
      <c r="K73" s="106"/>
      <c r="L73" s="113" t="s">
        <v>341</v>
      </c>
      <c r="M73" s="106"/>
      <c r="N73" s="106" t="s">
        <v>342</v>
      </c>
      <c r="O73" s="106"/>
      <c r="P73" s="102"/>
      <c r="Q73" s="106"/>
      <c r="R73" s="102"/>
      <c r="S73" s="106"/>
      <c r="T73" s="102">
        <v>1</v>
      </c>
      <c r="U73" s="102">
        <v>1</v>
      </c>
      <c r="V73" s="102">
        <v>0</v>
      </c>
      <c r="W73" s="102">
        <v>0</v>
      </c>
      <c r="X73" s="102">
        <v>0</v>
      </c>
      <c r="Y73" s="102">
        <v>0</v>
      </c>
      <c r="Z73" s="102">
        <v>0</v>
      </c>
      <c r="AA73" s="106"/>
      <c r="AB73" s="106"/>
      <c r="AC73" s="106"/>
      <c r="AD73" s="106"/>
      <c r="AE73" s="106"/>
      <c r="AF73" s="106"/>
      <c r="AG73" s="106"/>
      <c r="AH73" s="106"/>
    </row>
    <row r="74" spans="2:34" s="77" customFormat="1" ht="170" customHeight="1">
      <c r="B74" s="102">
        <f t="shared" si="1"/>
        <v>65</v>
      </c>
      <c r="C74" s="103" t="s">
        <v>343</v>
      </c>
      <c r="D74" s="104" t="s">
        <v>344</v>
      </c>
      <c r="E74" s="106"/>
      <c r="F74" s="106"/>
      <c r="G74" s="102" t="s">
        <v>771</v>
      </c>
      <c r="H74" s="106" t="s">
        <v>339</v>
      </c>
      <c r="I74" s="105" t="s">
        <v>345</v>
      </c>
      <c r="J74" s="102" t="s">
        <v>47</v>
      </c>
      <c r="K74" s="106"/>
      <c r="L74" s="113" t="s">
        <v>346</v>
      </c>
      <c r="M74" s="106"/>
      <c r="N74" s="106" t="s">
        <v>347</v>
      </c>
      <c r="O74" s="106"/>
      <c r="P74" s="102"/>
      <c r="Q74" s="106"/>
      <c r="R74" s="102"/>
      <c r="S74" s="106"/>
      <c r="T74" s="102">
        <v>1</v>
      </c>
      <c r="U74" s="102">
        <v>1</v>
      </c>
      <c r="V74" s="102">
        <v>0</v>
      </c>
      <c r="W74" s="102">
        <v>0</v>
      </c>
      <c r="X74" s="102">
        <v>0</v>
      </c>
      <c r="Y74" s="102">
        <v>0</v>
      </c>
      <c r="Z74" s="102">
        <v>0</v>
      </c>
      <c r="AA74" s="106"/>
      <c r="AB74" s="106"/>
      <c r="AC74" s="106"/>
      <c r="AD74" s="106"/>
      <c r="AE74" s="106"/>
      <c r="AF74" s="106"/>
      <c r="AG74" s="106"/>
      <c r="AH74" s="106"/>
    </row>
    <row r="75" spans="2:34" s="77" customFormat="1" ht="136" customHeight="1">
      <c r="B75" s="102">
        <f t="shared" si="1"/>
        <v>66</v>
      </c>
      <c r="C75" s="103" t="s">
        <v>348</v>
      </c>
      <c r="D75" s="104" t="s">
        <v>349</v>
      </c>
      <c r="E75" s="106"/>
      <c r="F75" s="106"/>
      <c r="G75" s="102" t="s">
        <v>771</v>
      </c>
      <c r="H75" s="106" t="s">
        <v>323</v>
      </c>
      <c r="I75" s="105" t="s">
        <v>350</v>
      </c>
      <c r="J75" s="102" t="s">
        <v>47</v>
      </c>
      <c r="K75" s="106"/>
      <c r="L75" s="113" t="s">
        <v>351</v>
      </c>
      <c r="M75" s="106"/>
      <c r="N75" s="106" t="s">
        <v>352</v>
      </c>
      <c r="O75" s="106"/>
      <c r="P75" s="102"/>
      <c r="Q75" s="106"/>
      <c r="R75" s="102"/>
      <c r="S75" s="106"/>
      <c r="T75" s="102">
        <v>1</v>
      </c>
      <c r="U75" s="102">
        <v>1</v>
      </c>
      <c r="V75" s="102">
        <v>0</v>
      </c>
      <c r="W75" s="102">
        <v>0</v>
      </c>
      <c r="X75" s="102">
        <v>0</v>
      </c>
      <c r="Y75" s="102">
        <v>0</v>
      </c>
      <c r="Z75" s="102">
        <v>0</v>
      </c>
      <c r="AA75" s="106"/>
      <c r="AB75" s="106"/>
      <c r="AC75" s="106"/>
      <c r="AD75" s="106"/>
      <c r="AE75" s="106"/>
      <c r="AF75" s="106"/>
      <c r="AG75" s="106"/>
      <c r="AH75" s="106"/>
    </row>
    <row r="76" spans="2:34" s="77" customFormat="1" ht="102" customHeight="1">
      <c r="B76" s="102">
        <f t="shared" si="1"/>
        <v>67</v>
      </c>
      <c r="C76" s="103" t="s">
        <v>353</v>
      </c>
      <c r="D76" s="104" t="s">
        <v>354</v>
      </c>
      <c r="E76" s="106"/>
      <c r="F76" s="106"/>
      <c r="G76" s="102" t="s">
        <v>771</v>
      </c>
      <c r="H76" s="106" t="s">
        <v>355</v>
      </c>
      <c r="I76" s="105" t="s">
        <v>356</v>
      </c>
      <c r="J76" s="102" t="s">
        <v>47</v>
      </c>
      <c r="K76" s="106"/>
      <c r="L76" s="114" t="s">
        <v>357</v>
      </c>
      <c r="M76" s="106"/>
      <c r="N76" s="106" t="s">
        <v>358</v>
      </c>
      <c r="O76" s="106"/>
      <c r="P76" s="102"/>
      <c r="Q76" s="106"/>
      <c r="R76" s="102"/>
      <c r="S76" s="106"/>
      <c r="T76" s="102">
        <v>1</v>
      </c>
      <c r="U76" s="102">
        <v>1</v>
      </c>
      <c r="V76" s="102">
        <v>0</v>
      </c>
      <c r="W76" s="102">
        <v>0</v>
      </c>
      <c r="X76" s="102">
        <v>0</v>
      </c>
      <c r="Y76" s="102">
        <v>0</v>
      </c>
      <c r="Z76" s="102">
        <v>0</v>
      </c>
      <c r="AA76" s="106"/>
      <c r="AB76" s="106"/>
      <c r="AC76" s="106"/>
      <c r="AD76" s="106"/>
      <c r="AE76" s="106"/>
      <c r="AF76" s="106"/>
      <c r="AG76" s="106"/>
      <c r="AH76" s="106"/>
    </row>
    <row r="77" spans="2:34" s="77" customFormat="1" ht="204" customHeight="1">
      <c r="B77" s="102">
        <f t="shared" si="1"/>
        <v>68</v>
      </c>
      <c r="C77" s="103" t="s">
        <v>359</v>
      </c>
      <c r="D77" s="104" t="s">
        <v>360</v>
      </c>
      <c r="E77" s="106"/>
      <c r="F77" s="106"/>
      <c r="G77" s="102" t="s">
        <v>771</v>
      </c>
      <c r="H77" s="106" t="s">
        <v>339</v>
      </c>
      <c r="I77" s="105" t="s">
        <v>340</v>
      </c>
      <c r="J77" s="102" t="s">
        <v>47</v>
      </c>
      <c r="K77" s="106"/>
      <c r="L77" s="113" t="s">
        <v>361</v>
      </c>
      <c r="M77" s="106"/>
      <c r="N77" s="106" t="s">
        <v>362</v>
      </c>
      <c r="O77" s="106"/>
      <c r="P77" s="102"/>
      <c r="Q77" s="106"/>
      <c r="R77" s="102"/>
      <c r="S77" s="106"/>
      <c r="T77" s="102">
        <v>1</v>
      </c>
      <c r="U77" s="102">
        <v>1</v>
      </c>
      <c r="V77" s="102">
        <v>0</v>
      </c>
      <c r="W77" s="102">
        <v>0</v>
      </c>
      <c r="X77" s="102">
        <v>0</v>
      </c>
      <c r="Y77" s="102">
        <v>0</v>
      </c>
      <c r="Z77" s="102">
        <v>0</v>
      </c>
      <c r="AA77" s="106"/>
      <c r="AB77" s="106"/>
      <c r="AC77" s="106"/>
      <c r="AD77" s="106"/>
      <c r="AE77" s="106"/>
      <c r="AF77" s="106"/>
      <c r="AG77" s="106"/>
      <c r="AH77" s="106"/>
    </row>
    <row r="78" spans="2:34" s="77" customFormat="1" ht="140">
      <c r="B78" s="102">
        <f t="shared" si="1"/>
        <v>69</v>
      </c>
      <c r="C78" s="103" t="s">
        <v>363</v>
      </c>
      <c r="D78" s="104" t="s">
        <v>364</v>
      </c>
      <c r="E78" s="106"/>
      <c r="F78" s="106"/>
      <c r="G78" s="102" t="s">
        <v>771</v>
      </c>
      <c r="H78" s="102" t="s">
        <v>848</v>
      </c>
      <c r="I78" s="105" t="s">
        <v>824</v>
      </c>
      <c r="J78" s="113" t="s">
        <v>883</v>
      </c>
      <c r="K78" s="106" t="s">
        <v>781</v>
      </c>
      <c r="L78" s="114" t="s">
        <v>825</v>
      </c>
      <c r="M78" s="107" t="s">
        <v>826</v>
      </c>
      <c r="N78" s="107" t="s">
        <v>830</v>
      </c>
      <c r="O78" s="106" t="s">
        <v>839</v>
      </c>
      <c r="P78" s="102" t="s">
        <v>831</v>
      </c>
      <c r="Q78" s="106"/>
      <c r="R78" s="102" t="s">
        <v>736</v>
      </c>
      <c r="S78" s="106" t="s">
        <v>782</v>
      </c>
      <c r="T78" s="102">
        <v>1</v>
      </c>
      <c r="U78" s="102">
        <v>1</v>
      </c>
      <c r="V78" s="102">
        <v>0</v>
      </c>
      <c r="W78" s="102">
        <v>0</v>
      </c>
      <c r="X78" s="102">
        <v>0</v>
      </c>
      <c r="Y78" s="102">
        <v>0</v>
      </c>
      <c r="Z78" s="102">
        <v>0</v>
      </c>
      <c r="AA78" s="106" t="s">
        <v>782</v>
      </c>
      <c r="AB78" s="106"/>
      <c r="AC78" s="106"/>
      <c r="AD78" s="106"/>
      <c r="AE78" s="106"/>
      <c r="AF78" s="106"/>
      <c r="AG78" s="106"/>
      <c r="AH78" s="110" t="s">
        <v>773</v>
      </c>
    </row>
    <row r="79" spans="2:34" s="77" customFormat="1" ht="126">
      <c r="B79" s="102">
        <f t="shared" si="1"/>
        <v>70</v>
      </c>
      <c r="C79" s="103" t="s">
        <v>363</v>
      </c>
      <c r="D79" s="104" t="s">
        <v>364</v>
      </c>
      <c r="E79" s="106"/>
      <c r="F79" s="106"/>
      <c r="G79" s="102" t="s">
        <v>771</v>
      </c>
      <c r="H79" s="102" t="s">
        <v>848</v>
      </c>
      <c r="I79" s="105" t="s">
        <v>827</v>
      </c>
      <c r="J79" s="114" t="s">
        <v>884</v>
      </c>
      <c r="K79" s="106" t="s">
        <v>781</v>
      </c>
      <c r="L79" s="114" t="s">
        <v>828</v>
      </c>
      <c r="M79" s="107" t="s">
        <v>829</v>
      </c>
      <c r="N79" s="107" t="s">
        <v>830</v>
      </c>
      <c r="O79" s="106" t="s">
        <v>839</v>
      </c>
      <c r="P79" s="102" t="s">
        <v>831</v>
      </c>
      <c r="Q79" s="106"/>
      <c r="R79" s="102" t="s">
        <v>736</v>
      </c>
      <c r="S79" s="106" t="s">
        <v>782</v>
      </c>
      <c r="T79" s="102">
        <v>1</v>
      </c>
      <c r="U79" s="102">
        <v>1</v>
      </c>
      <c r="V79" s="102">
        <v>0</v>
      </c>
      <c r="W79" s="102">
        <v>0</v>
      </c>
      <c r="X79" s="102">
        <v>0</v>
      </c>
      <c r="Y79" s="102">
        <v>0</v>
      </c>
      <c r="Z79" s="102">
        <v>0</v>
      </c>
      <c r="AA79" s="106" t="s">
        <v>782</v>
      </c>
      <c r="AB79" s="106"/>
      <c r="AC79" s="106"/>
      <c r="AD79" s="106"/>
      <c r="AE79" s="106"/>
      <c r="AF79" s="106"/>
      <c r="AG79" s="106"/>
      <c r="AH79" s="110" t="s">
        <v>773</v>
      </c>
    </row>
    <row r="80" spans="2:34" s="77" customFormat="1" ht="126">
      <c r="B80" s="102">
        <f t="shared" ref="B80:B118" si="2">IF(ISBLANK($D80),"",ROW()-9)</f>
        <v>71</v>
      </c>
      <c r="C80" s="103" t="s">
        <v>365</v>
      </c>
      <c r="D80" s="104" t="s">
        <v>366</v>
      </c>
      <c r="E80" s="106"/>
      <c r="F80" s="106"/>
      <c r="G80" s="102" t="s">
        <v>771</v>
      </c>
      <c r="H80" s="102" t="s">
        <v>848</v>
      </c>
      <c r="I80" s="105" t="s">
        <v>832</v>
      </c>
      <c r="J80" s="114" t="s">
        <v>887</v>
      </c>
      <c r="K80" s="106" t="s">
        <v>781</v>
      </c>
      <c r="L80" s="114" t="s">
        <v>833</v>
      </c>
      <c r="M80" s="107" t="s">
        <v>834</v>
      </c>
      <c r="N80" s="107" t="s">
        <v>838</v>
      </c>
      <c r="O80" s="106" t="s">
        <v>839</v>
      </c>
      <c r="P80" s="102" t="s">
        <v>831</v>
      </c>
      <c r="Q80" s="106"/>
      <c r="R80" s="102" t="s">
        <v>736</v>
      </c>
      <c r="S80" s="106" t="s">
        <v>781</v>
      </c>
      <c r="T80" s="102">
        <v>1</v>
      </c>
      <c r="U80" s="102">
        <v>1</v>
      </c>
      <c r="V80" s="102">
        <v>0</v>
      </c>
      <c r="W80" s="102">
        <v>0</v>
      </c>
      <c r="X80" s="102">
        <v>0</v>
      </c>
      <c r="Y80" s="102">
        <v>0</v>
      </c>
      <c r="Z80" s="102">
        <v>0</v>
      </c>
      <c r="AA80" s="106" t="s">
        <v>782</v>
      </c>
      <c r="AB80" s="106"/>
      <c r="AC80" s="106"/>
      <c r="AD80" s="106"/>
      <c r="AE80" s="106"/>
      <c r="AF80" s="106"/>
      <c r="AG80" s="106"/>
      <c r="AH80" s="110" t="s">
        <v>773</v>
      </c>
    </row>
    <row r="81" spans="2:34" s="77" customFormat="1" ht="126">
      <c r="B81" s="102">
        <f t="shared" si="2"/>
        <v>72</v>
      </c>
      <c r="C81" s="103" t="s">
        <v>365</v>
      </c>
      <c r="D81" s="104" t="s">
        <v>366</v>
      </c>
      <c r="E81" s="106"/>
      <c r="F81" s="106"/>
      <c r="G81" s="102" t="s">
        <v>771</v>
      </c>
      <c r="H81" s="102" t="s">
        <v>848</v>
      </c>
      <c r="I81" s="105" t="s">
        <v>835</v>
      </c>
      <c r="J81" s="114" t="s">
        <v>885</v>
      </c>
      <c r="K81" s="106" t="s">
        <v>781</v>
      </c>
      <c r="L81" s="114" t="s">
        <v>836</v>
      </c>
      <c r="M81" s="107" t="s">
        <v>837</v>
      </c>
      <c r="N81" s="107" t="s">
        <v>838</v>
      </c>
      <c r="O81" s="106" t="s">
        <v>839</v>
      </c>
      <c r="P81" s="102" t="s">
        <v>831</v>
      </c>
      <c r="Q81" s="106"/>
      <c r="R81" s="102" t="s">
        <v>736</v>
      </c>
      <c r="S81" s="106" t="s">
        <v>781</v>
      </c>
      <c r="T81" s="102">
        <v>1</v>
      </c>
      <c r="U81" s="102">
        <v>1</v>
      </c>
      <c r="V81" s="102">
        <v>0</v>
      </c>
      <c r="W81" s="102">
        <v>0</v>
      </c>
      <c r="X81" s="102">
        <v>0</v>
      </c>
      <c r="Y81" s="102">
        <v>0</v>
      </c>
      <c r="Z81" s="102">
        <v>0</v>
      </c>
      <c r="AA81" s="106" t="s">
        <v>782</v>
      </c>
      <c r="AB81" s="106"/>
      <c r="AC81" s="106"/>
      <c r="AD81" s="106"/>
      <c r="AE81" s="106"/>
      <c r="AF81" s="106"/>
      <c r="AG81" s="106"/>
      <c r="AH81" s="110" t="s">
        <v>773</v>
      </c>
    </row>
    <row r="82" spans="2:34" s="77" customFormat="1" ht="68" customHeight="1">
      <c r="B82" s="102">
        <f t="shared" si="2"/>
        <v>73</v>
      </c>
      <c r="C82" s="103" t="s">
        <v>367</v>
      </c>
      <c r="D82" s="104" t="s">
        <v>368</v>
      </c>
      <c r="E82" s="106"/>
      <c r="F82" s="106"/>
      <c r="G82" s="102" t="s">
        <v>771</v>
      </c>
      <c r="H82" s="102" t="s">
        <v>369</v>
      </c>
      <c r="I82" s="105" t="s">
        <v>370</v>
      </c>
      <c r="J82" s="102" t="s">
        <v>47</v>
      </c>
      <c r="K82" s="106"/>
      <c r="L82" s="114" t="s">
        <v>371</v>
      </c>
      <c r="M82" s="106"/>
      <c r="N82" s="106" t="s">
        <v>372</v>
      </c>
      <c r="O82" s="106"/>
      <c r="P82" s="102"/>
      <c r="Q82" s="106"/>
      <c r="R82" s="102"/>
      <c r="S82" s="106"/>
      <c r="T82" s="102">
        <v>1</v>
      </c>
      <c r="U82" s="102">
        <v>1</v>
      </c>
      <c r="V82" s="102">
        <v>0</v>
      </c>
      <c r="W82" s="102">
        <v>0</v>
      </c>
      <c r="X82" s="102">
        <v>0</v>
      </c>
      <c r="Y82" s="102">
        <v>0</v>
      </c>
      <c r="Z82" s="102">
        <v>0</v>
      </c>
      <c r="AA82" s="106"/>
      <c r="AB82" s="106"/>
      <c r="AC82" s="106"/>
      <c r="AD82" s="106"/>
      <c r="AE82" s="106"/>
      <c r="AF82" s="106"/>
      <c r="AG82" s="106"/>
      <c r="AH82" s="106"/>
    </row>
    <row r="83" spans="2:34" s="77" customFormat="1" ht="68" customHeight="1">
      <c r="B83" s="102">
        <f t="shared" si="2"/>
        <v>74</v>
      </c>
      <c r="C83" s="103" t="s">
        <v>373</v>
      </c>
      <c r="D83" s="104" t="s">
        <v>374</v>
      </c>
      <c r="E83" s="106"/>
      <c r="F83" s="106"/>
      <c r="G83" s="102" t="s">
        <v>771</v>
      </c>
      <c r="H83" s="102" t="s">
        <v>375</v>
      </c>
      <c r="I83" s="105" t="s">
        <v>376</v>
      </c>
      <c r="J83" s="102" t="s">
        <v>47</v>
      </c>
      <c r="K83" s="106"/>
      <c r="L83" s="114" t="s">
        <v>377</v>
      </c>
      <c r="M83" s="106"/>
      <c r="N83" s="106" t="s">
        <v>378</v>
      </c>
      <c r="O83" s="106"/>
      <c r="P83" s="102"/>
      <c r="Q83" s="106"/>
      <c r="R83" s="102"/>
      <c r="S83" s="106"/>
      <c r="T83" s="102">
        <v>1</v>
      </c>
      <c r="U83" s="102">
        <v>1</v>
      </c>
      <c r="V83" s="102">
        <v>0</v>
      </c>
      <c r="W83" s="102">
        <v>0</v>
      </c>
      <c r="X83" s="102">
        <v>0</v>
      </c>
      <c r="Y83" s="102">
        <v>0</v>
      </c>
      <c r="Z83" s="102">
        <v>0</v>
      </c>
      <c r="AA83" s="106"/>
      <c r="AB83" s="106"/>
      <c r="AC83" s="106"/>
      <c r="AD83" s="106"/>
      <c r="AE83" s="106"/>
      <c r="AF83" s="106"/>
      <c r="AG83" s="106"/>
      <c r="AH83" s="106"/>
    </row>
    <row r="84" spans="2:34" s="77" customFormat="1" ht="136" customHeight="1">
      <c r="B84" s="102">
        <f t="shared" si="2"/>
        <v>75</v>
      </c>
      <c r="C84" s="103" t="s">
        <v>379</v>
      </c>
      <c r="D84" s="104" t="s">
        <v>380</v>
      </c>
      <c r="E84" s="106"/>
      <c r="F84" s="106"/>
      <c r="G84" s="102" t="s">
        <v>771</v>
      </c>
      <c r="H84" s="102" t="s">
        <v>381</v>
      </c>
      <c r="I84" s="105" t="s">
        <v>382</v>
      </c>
      <c r="J84" s="102" t="s">
        <v>47</v>
      </c>
      <c r="K84" s="106"/>
      <c r="L84" s="114" t="s">
        <v>383</v>
      </c>
      <c r="M84" s="106"/>
      <c r="N84" s="106" t="s">
        <v>384</v>
      </c>
      <c r="O84" s="106"/>
      <c r="P84" s="102"/>
      <c r="Q84" s="106"/>
      <c r="R84" s="102"/>
      <c r="S84" s="106"/>
      <c r="T84" s="102">
        <v>1</v>
      </c>
      <c r="U84" s="102">
        <v>1</v>
      </c>
      <c r="V84" s="102">
        <v>0</v>
      </c>
      <c r="W84" s="102">
        <v>0</v>
      </c>
      <c r="X84" s="102">
        <v>0</v>
      </c>
      <c r="Y84" s="102">
        <v>0</v>
      </c>
      <c r="Z84" s="102">
        <v>0</v>
      </c>
      <c r="AA84" s="106"/>
      <c r="AB84" s="106"/>
      <c r="AC84" s="106"/>
      <c r="AD84" s="106"/>
      <c r="AE84" s="106"/>
      <c r="AF84" s="106"/>
      <c r="AG84" s="106"/>
      <c r="AH84" s="106"/>
    </row>
    <row r="85" spans="2:34" s="77" customFormat="1" ht="126">
      <c r="B85" s="102">
        <f t="shared" si="2"/>
        <v>76</v>
      </c>
      <c r="C85" s="103" t="s">
        <v>385</v>
      </c>
      <c r="D85" s="104" t="s">
        <v>386</v>
      </c>
      <c r="E85" s="106"/>
      <c r="F85" s="106"/>
      <c r="G85" s="102" t="s">
        <v>771</v>
      </c>
      <c r="H85" s="102" t="s">
        <v>847</v>
      </c>
      <c r="I85" s="105" t="s">
        <v>840</v>
      </c>
      <c r="J85" s="114" t="s">
        <v>886</v>
      </c>
      <c r="K85" s="106" t="s">
        <v>781</v>
      </c>
      <c r="L85" s="114" t="s">
        <v>841</v>
      </c>
      <c r="M85" s="107" t="s">
        <v>842</v>
      </c>
      <c r="N85" s="107" t="s">
        <v>843</v>
      </c>
      <c r="O85" s="106" t="s">
        <v>839</v>
      </c>
      <c r="P85" s="102" t="s">
        <v>783</v>
      </c>
      <c r="Q85" s="106"/>
      <c r="R85" s="102" t="s">
        <v>736</v>
      </c>
      <c r="S85" s="106" t="s">
        <v>781</v>
      </c>
      <c r="T85" s="102">
        <v>1</v>
      </c>
      <c r="U85" s="102">
        <v>1</v>
      </c>
      <c r="V85" s="102">
        <v>0</v>
      </c>
      <c r="W85" s="102">
        <v>0</v>
      </c>
      <c r="X85" s="102">
        <v>0</v>
      </c>
      <c r="Y85" s="102">
        <v>0</v>
      </c>
      <c r="Z85" s="102">
        <v>0</v>
      </c>
      <c r="AA85" s="106" t="s">
        <v>782</v>
      </c>
      <c r="AB85" s="106"/>
      <c r="AC85" s="106"/>
      <c r="AD85" s="106"/>
      <c r="AE85" s="106"/>
      <c r="AF85" s="106"/>
      <c r="AG85" s="106"/>
      <c r="AH85" s="110" t="s">
        <v>773</v>
      </c>
    </row>
    <row r="86" spans="2:34" s="77" customFormat="1" ht="126">
      <c r="B86" s="102">
        <f t="shared" si="2"/>
        <v>77</v>
      </c>
      <c r="C86" s="103" t="s">
        <v>385</v>
      </c>
      <c r="D86" s="104" t="s">
        <v>386</v>
      </c>
      <c r="E86" s="106"/>
      <c r="F86" s="106"/>
      <c r="G86" s="102" t="s">
        <v>771</v>
      </c>
      <c r="H86" s="102" t="s">
        <v>847</v>
      </c>
      <c r="I86" s="105" t="s">
        <v>844</v>
      </c>
      <c r="J86" s="114" t="s">
        <v>888</v>
      </c>
      <c r="K86" s="106" t="s">
        <v>781</v>
      </c>
      <c r="L86" s="114" t="s">
        <v>845</v>
      </c>
      <c r="M86" s="107" t="s">
        <v>846</v>
      </c>
      <c r="N86" s="107" t="s">
        <v>843</v>
      </c>
      <c r="O86" s="106" t="s">
        <v>839</v>
      </c>
      <c r="P86" s="102" t="s">
        <v>783</v>
      </c>
      <c r="Q86" s="106"/>
      <c r="R86" s="102" t="s">
        <v>736</v>
      </c>
      <c r="S86" s="106" t="s">
        <v>781</v>
      </c>
      <c r="T86" s="102">
        <v>1</v>
      </c>
      <c r="U86" s="102">
        <v>1</v>
      </c>
      <c r="V86" s="102">
        <v>0</v>
      </c>
      <c r="W86" s="102">
        <v>0</v>
      </c>
      <c r="X86" s="102">
        <v>0</v>
      </c>
      <c r="Y86" s="102">
        <v>0</v>
      </c>
      <c r="Z86" s="102">
        <v>0</v>
      </c>
      <c r="AA86" s="106" t="s">
        <v>782</v>
      </c>
      <c r="AB86" s="106"/>
      <c r="AC86" s="106"/>
      <c r="AD86" s="106"/>
      <c r="AE86" s="106"/>
      <c r="AF86" s="106"/>
      <c r="AG86" s="106"/>
      <c r="AH86" s="110" t="s">
        <v>773</v>
      </c>
    </row>
    <row r="87" spans="2:34" s="77" customFormat="1" ht="140">
      <c r="B87" s="102">
        <f t="shared" si="2"/>
        <v>78</v>
      </c>
      <c r="C87" s="103" t="s">
        <v>385</v>
      </c>
      <c r="D87" s="104" t="s">
        <v>386</v>
      </c>
      <c r="E87" s="106"/>
      <c r="F87" s="106"/>
      <c r="G87" s="102" t="s">
        <v>771</v>
      </c>
      <c r="H87" s="102" t="s">
        <v>847</v>
      </c>
      <c r="I87" s="105" t="s">
        <v>849</v>
      </c>
      <c r="J87" s="114" t="s">
        <v>889</v>
      </c>
      <c r="K87" s="106" t="s">
        <v>781</v>
      </c>
      <c r="L87" s="114" t="s">
        <v>850</v>
      </c>
      <c r="M87" s="107" t="s">
        <v>851</v>
      </c>
      <c r="N87" s="107" t="s">
        <v>843</v>
      </c>
      <c r="O87" s="106" t="s">
        <v>839</v>
      </c>
      <c r="P87" s="102" t="s">
        <v>783</v>
      </c>
      <c r="Q87" s="106"/>
      <c r="R87" s="102" t="s">
        <v>736</v>
      </c>
      <c r="S87" s="106" t="s">
        <v>781</v>
      </c>
      <c r="T87" s="102">
        <v>1</v>
      </c>
      <c r="U87" s="102">
        <v>1</v>
      </c>
      <c r="V87" s="102">
        <v>0</v>
      </c>
      <c r="W87" s="102">
        <v>0</v>
      </c>
      <c r="X87" s="102">
        <v>0</v>
      </c>
      <c r="Y87" s="102">
        <v>0</v>
      </c>
      <c r="Z87" s="102">
        <v>0</v>
      </c>
      <c r="AA87" s="106" t="s">
        <v>782</v>
      </c>
      <c r="AB87" s="106"/>
      <c r="AC87" s="106"/>
      <c r="AD87" s="106"/>
      <c r="AE87" s="106"/>
      <c r="AF87" s="106"/>
      <c r="AG87" s="106"/>
      <c r="AH87" s="110" t="s">
        <v>773</v>
      </c>
    </row>
    <row r="88" spans="2:34" s="77" customFormat="1" ht="126">
      <c r="B88" s="102">
        <f t="shared" si="2"/>
        <v>79</v>
      </c>
      <c r="C88" s="103" t="s">
        <v>385</v>
      </c>
      <c r="D88" s="104" t="s">
        <v>386</v>
      </c>
      <c r="E88" s="106"/>
      <c r="F88" s="106"/>
      <c r="G88" s="102" t="s">
        <v>771</v>
      </c>
      <c r="H88" s="102" t="s">
        <v>847</v>
      </c>
      <c r="I88" s="105" t="s">
        <v>852</v>
      </c>
      <c r="J88" s="114" t="s">
        <v>890</v>
      </c>
      <c r="K88" s="106" t="s">
        <v>781</v>
      </c>
      <c r="L88" s="114" t="s">
        <v>853</v>
      </c>
      <c r="M88" s="107" t="s">
        <v>854</v>
      </c>
      <c r="N88" s="107" t="s">
        <v>843</v>
      </c>
      <c r="O88" s="106" t="s">
        <v>839</v>
      </c>
      <c r="P88" s="102" t="s">
        <v>783</v>
      </c>
      <c r="Q88" s="106"/>
      <c r="R88" s="102" t="s">
        <v>736</v>
      </c>
      <c r="S88" s="106" t="s">
        <v>781</v>
      </c>
      <c r="T88" s="102">
        <v>1</v>
      </c>
      <c r="U88" s="102">
        <v>1</v>
      </c>
      <c r="V88" s="102">
        <v>0</v>
      </c>
      <c r="W88" s="102">
        <v>0</v>
      </c>
      <c r="X88" s="102">
        <v>0</v>
      </c>
      <c r="Y88" s="102">
        <v>0</v>
      </c>
      <c r="Z88" s="102">
        <v>0</v>
      </c>
      <c r="AA88" s="106" t="s">
        <v>782</v>
      </c>
      <c r="AB88" s="106"/>
      <c r="AC88" s="106"/>
      <c r="AD88" s="106"/>
      <c r="AE88" s="106"/>
      <c r="AF88" s="106"/>
      <c r="AG88" s="106"/>
      <c r="AH88" s="110" t="s">
        <v>773</v>
      </c>
    </row>
    <row r="89" spans="2:34" s="77" customFormat="1" ht="126">
      <c r="B89" s="102">
        <f t="shared" si="2"/>
        <v>80</v>
      </c>
      <c r="C89" s="103" t="s">
        <v>385</v>
      </c>
      <c r="D89" s="104" t="s">
        <v>386</v>
      </c>
      <c r="E89" s="106"/>
      <c r="F89" s="106"/>
      <c r="G89" s="102" t="s">
        <v>771</v>
      </c>
      <c r="H89" s="102" t="s">
        <v>847</v>
      </c>
      <c r="I89" s="105" t="s">
        <v>855</v>
      </c>
      <c r="J89" s="114" t="s">
        <v>892</v>
      </c>
      <c r="K89" s="106" t="s">
        <v>781</v>
      </c>
      <c r="L89" s="114" t="s">
        <v>856</v>
      </c>
      <c r="M89" s="107" t="s">
        <v>857</v>
      </c>
      <c r="N89" s="107" t="s">
        <v>843</v>
      </c>
      <c r="O89" s="106" t="s">
        <v>839</v>
      </c>
      <c r="P89" s="102" t="s">
        <v>783</v>
      </c>
      <c r="Q89" s="106"/>
      <c r="R89" s="102" t="s">
        <v>736</v>
      </c>
      <c r="S89" s="106" t="s">
        <v>781</v>
      </c>
      <c r="T89" s="102">
        <v>1</v>
      </c>
      <c r="U89" s="102">
        <v>1</v>
      </c>
      <c r="V89" s="102">
        <v>0</v>
      </c>
      <c r="W89" s="102">
        <v>0</v>
      </c>
      <c r="X89" s="102">
        <v>0</v>
      </c>
      <c r="Y89" s="102">
        <v>0</v>
      </c>
      <c r="Z89" s="102">
        <v>0</v>
      </c>
      <c r="AA89" s="106" t="s">
        <v>782</v>
      </c>
      <c r="AB89" s="106"/>
      <c r="AC89" s="106"/>
      <c r="AD89" s="106"/>
      <c r="AE89" s="106"/>
      <c r="AF89" s="106"/>
      <c r="AG89" s="106"/>
      <c r="AH89" s="110" t="s">
        <v>773</v>
      </c>
    </row>
    <row r="90" spans="2:34" s="77" customFormat="1" ht="112">
      <c r="B90" s="102">
        <f t="shared" si="2"/>
        <v>81</v>
      </c>
      <c r="C90" s="103" t="s">
        <v>385</v>
      </c>
      <c r="D90" s="104" t="s">
        <v>386</v>
      </c>
      <c r="E90" s="106"/>
      <c r="F90" s="106"/>
      <c r="G90" s="102" t="s">
        <v>771</v>
      </c>
      <c r="H90" s="102" t="s">
        <v>847</v>
      </c>
      <c r="I90" s="105" t="s">
        <v>858</v>
      </c>
      <c r="J90" s="114" t="s">
        <v>891</v>
      </c>
      <c r="K90" s="106" t="s">
        <v>781</v>
      </c>
      <c r="L90" s="114" t="s">
        <v>859</v>
      </c>
      <c r="M90" s="107" t="s">
        <v>860</v>
      </c>
      <c r="N90" s="107" t="s">
        <v>843</v>
      </c>
      <c r="O90" s="106" t="s">
        <v>839</v>
      </c>
      <c r="P90" s="102" t="s">
        <v>783</v>
      </c>
      <c r="Q90" s="106"/>
      <c r="R90" s="102" t="s">
        <v>736</v>
      </c>
      <c r="S90" s="106" t="s">
        <v>781</v>
      </c>
      <c r="T90" s="102">
        <v>1</v>
      </c>
      <c r="U90" s="102">
        <v>1</v>
      </c>
      <c r="V90" s="102">
        <v>0</v>
      </c>
      <c r="W90" s="102">
        <v>0</v>
      </c>
      <c r="X90" s="102">
        <v>0</v>
      </c>
      <c r="Y90" s="102">
        <v>0</v>
      </c>
      <c r="Z90" s="102">
        <v>0</v>
      </c>
      <c r="AA90" s="106" t="s">
        <v>782</v>
      </c>
      <c r="AB90" s="106"/>
      <c r="AC90" s="106"/>
      <c r="AD90" s="106"/>
      <c r="AE90" s="106"/>
      <c r="AF90" s="106"/>
      <c r="AG90" s="106"/>
      <c r="AH90" s="110" t="s">
        <v>773</v>
      </c>
    </row>
    <row r="91" spans="2:34" s="77" customFormat="1" ht="126">
      <c r="B91" s="102">
        <f t="shared" si="2"/>
        <v>82</v>
      </c>
      <c r="C91" s="103" t="s">
        <v>387</v>
      </c>
      <c r="D91" s="104" t="s">
        <v>388</v>
      </c>
      <c r="E91" s="106"/>
      <c r="F91" s="106"/>
      <c r="G91" s="102" t="s">
        <v>771</v>
      </c>
      <c r="H91" s="102" t="s">
        <v>848</v>
      </c>
      <c r="I91" s="105" t="s">
        <v>861</v>
      </c>
      <c r="J91" s="114" t="s">
        <v>893</v>
      </c>
      <c r="K91" s="106" t="s">
        <v>781</v>
      </c>
      <c r="L91" s="114" t="s">
        <v>862</v>
      </c>
      <c r="M91" s="107" t="s">
        <v>863</v>
      </c>
      <c r="N91" s="107" t="s">
        <v>867</v>
      </c>
      <c r="O91" s="106" t="s">
        <v>839</v>
      </c>
      <c r="P91" s="102" t="s">
        <v>783</v>
      </c>
      <c r="Q91" s="106"/>
      <c r="R91" s="102" t="s">
        <v>736</v>
      </c>
      <c r="S91" s="106" t="s">
        <v>781</v>
      </c>
      <c r="T91" s="102">
        <v>1</v>
      </c>
      <c r="U91" s="102">
        <v>1</v>
      </c>
      <c r="V91" s="102">
        <v>0</v>
      </c>
      <c r="W91" s="102">
        <v>0</v>
      </c>
      <c r="X91" s="102">
        <v>0</v>
      </c>
      <c r="Y91" s="102">
        <v>0</v>
      </c>
      <c r="Z91" s="102">
        <v>0</v>
      </c>
      <c r="AA91" s="106" t="s">
        <v>782</v>
      </c>
      <c r="AB91" s="106"/>
      <c r="AC91" s="106"/>
      <c r="AD91" s="106"/>
      <c r="AE91" s="106"/>
      <c r="AF91" s="106"/>
      <c r="AG91" s="106"/>
      <c r="AH91" s="110" t="s">
        <v>773</v>
      </c>
    </row>
    <row r="92" spans="2:34" s="77" customFormat="1" ht="126">
      <c r="B92" s="102">
        <f t="shared" si="2"/>
        <v>83</v>
      </c>
      <c r="C92" s="103" t="s">
        <v>387</v>
      </c>
      <c r="D92" s="104" t="s">
        <v>388</v>
      </c>
      <c r="E92" s="106"/>
      <c r="F92" s="106"/>
      <c r="G92" s="102" t="s">
        <v>771</v>
      </c>
      <c r="H92" s="102" t="s">
        <v>848</v>
      </c>
      <c r="I92" s="105" t="s">
        <v>864</v>
      </c>
      <c r="J92" s="114" t="s">
        <v>894</v>
      </c>
      <c r="K92" s="106" t="s">
        <v>781</v>
      </c>
      <c r="L92" s="114" t="s">
        <v>865</v>
      </c>
      <c r="M92" s="107" t="s">
        <v>866</v>
      </c>
      <c r="N92" s="107" t="s">
        <v>867</v>
      </c>
      <c r="O92" s="106" t="s">
        <v>839</v>
      </c>
      <c r="P92" s="102" t="s">
        <v>783</v>
      </c>
      <c r="Q92" s="106"/>
      <c r="R92" s="102" t="s">
        <v>736</v>
      </c>
      <c r="S92" s="106" t="s">
        <v>781</v>
      </c>
      <c r="T92" s="102">
        <v>1</v>
      </c>
      <c r="U92" s="102">
        <v>1</v>
      </c>
      <c r="V92" s="102">
        <v>0</v>
      </c>
      <c r="W92" s="102">
        <v>0</v>
      </c>
      <c r="X92" s="102">
        <v>0</v>
      </c>
      <c r="Y92" s="102">
        <v>0</v>
      </c>
      <c r="Z92" s="102">
        <v>0</v>
      </c>
      <c r="AA92" s="106" t="s">
        <v>782</v>
      </c>
      <c r="AB92" s="106"/>
      <c r="AC92" s="106"/>
      <c r="AD92" s="106"/>
      <c r="AE92" s="106"/>
      <c r="AF92" s="106"/>
      <c r="AG92" s="106"/>
      <c r="AH92" s="110" t="s">
        <v>773</v>
      </c>
    </row>
    <row r="93" spans="2:34" s="77" customFormat="1" ht="85" customHeight="1">
      <c r="B93" s="102">
        <f t="shared" si="2"/>
        <v>84</v>
      </c>
      <c r="C93" s="103" t="s">
        <v>389</v>
      </c>
      <c r="D93" s="104" t="s">
        <v>390</v>
      </c>
      <c r="E93" s="106"/>
      <c r="F93" s="106"/>
      <c r="G93" s="102" t="s">
        <v>771</v>
      </c>
      <c r="H93" s="102" t="s">
        <v>391</v>
      </c>
      <c r="I93" s="105" t="s">
        <v>392</v>
      </c>
      <c r="J93" s="102" t="s">
        <v>47</v>
      </c>
      <c r="K93" s="106"/>
      <c r="L93" s="114" t="s">
        <v>393</v>
      </c>
      <c r="M93" s="106"/>
      <c r="N93" s="106" t="s">
        <v>394</v>
      </c>
      <c r="O93" s="106"/>
      <c r="P93" s="102"/>
      <c r="Q93" s="106"/>
      <c r="R93" s="102"/>
      <c r="S93" s="106"/>
      <c r="T93" s="102">
        <v>1</v>
      </c>
      <c r="U93" s="102">
        <v>1</v>
      </c>
      <c r="V93" s="102">
        <v>0</v>
      </c>
      <c r="W93" s="102">
        <v>0</v>
      </c>
      <c r="X93" s="102">
        <v>0</v>
      </c>
      <c r="Y93" s="102">
        <v>0</v>
      </c>
      <c r="Z93" s="102">
        <v>0</v>
      </c>
      <c r="AA93" s="106"/>
      <c r="AB93" s="106"/>
      <c r="AC93" s="106"/>
      <c r="AD93" s="106"/>
      <c r="AE93" s="106"/>
      <c r="AF93" s="106"/>
      <c r="AG93" s="106"/>
      <c r="AH93" s="106"/>
    </row>
    <row r="94" spans="2:34" s="77" customFormat="1" ht="102" customHeight="1">
      <c r="B94" s="102">
        <f t="shared" si="2"/>
        <v>85</v>
      </c>
      <c r="C94" s="103" t="s">
        <v>395</v>
      </c>
      <c r="D94" s="104" t="s">
        <v>396</v>
      </c>
      <c r="E94" s="106"/>
      <c r="F94" s="106"/>
      <c r="G94" s="102" t="s">
        <v>771</v>
      </c>
      <c r="H94" s="102" t="s">
        <v>188</v>
      </c>
      <c r="I94" s="105" t="s">
        <v>189</v>
      </c>
      <c r="J94" s="102" t="s">
        <v>47</v>
      </c>
      <c r="K94" s="106"/>
      <c r="L94" s="113" t="s">
        <v>397</v>
      </c>
      <c r="M94" s="106"/>
      <c r="N94" s="106" t="s">
        <v>398</v>
      </c>
      <c r="O94" s="106"/>
      <c r="P94" s="102"/>
      <c r="Q94" s="106"/>
      <c r="R94" s="102"/>
      <c r="S94" s="106"/>
      <c r="T94" s="102">
        <v>0</v>
      </c>
      <c r="U94" s="102">
        <v>0</v>
      </c>
      <c r="V94" s="102">
        <v>1</v>
      </c>
      <c r="W94" s="102">
        <v>1</v>
      </c>
      <c r="X94" s="102">
        <v>1</v>
      </c>
      <c r="Y94" s="102">
        <v>1</v>
      </c>
      <c r="Z94" s="102">
        <v>1</v>
      </c>
      <c r="AA94" s="106"/>
      <c r="AB94" s="106"/>
      <c r="AC94" s="106"/>
      <c r="AD94" s="106"/>
      <c r="AE94" s="106"/>
      <c r="AF94" s="106"/>
      <c r="AG94" s="106"/>
      <c r="AH94" s="106"/>
    </row>
    <row r="95" spans="2:34" s="77" customFormat="1" ht="170" customHeight="1">
      <c r="B95" s="102">
        <f t="shared" si="2"/>
        <v>86</v>
      </c>
      <c r="C95" s="103" t="s">
        <v>399</v>
      </c>
      <c r="D95" s="104" t="s">
        <v>400</v>
      </c>
      <c r="E95" s="106"/>
      <c r="F95" s="106"/>
      <c r="G95" s="102" t="s">
        <v>771</v>
      </c>
      <c r="H95" s="102" t="s">
        <v>194</v>
      </c>
      <c r="I95" s="105" t="s">
        <v>195</v>
      </c>
      <c r="J95" s="102" t="s">
        <v>47</v>
      </c>
      <c r="K95" s="106"/>
      <c r="L95" s="113" t="s">
        <v>401</v>
      </c>
      <c r="M95" s="106"/>
      <c r="N95" s="106" t="s">
        <v>402</v>
      </c>
      <c r="O95" s="106"/>
      <c r="P95" s="102"/>
      <c r="Q95" s="106"/>
      <c r="R95" s="102"/>
      <c r="S95" s="106"/>
      <c r="T95" s="102">
        <v>0</v>
      </c>
      <c r="U95" s="102">
        <v>0</v>
      </c>
      <c r="V95" s="102">
        <v>1</v>
      </c>
      <c r="W95" s="102">
        <v>1</v>
      </c>
      <c r="X95" s="102">
        <v>1</v>
      </c>
      <c r="Y95" s="102">
        <v>1</v>
      </c>
      <c r="Z95" s="102">
        <v>1</v>
      </c>
      <c r="AA95" s="106"/>
      <c r="AB95" s="106"/>
      <c r="AC95" s="106"/>
      <c r="AD95" s="106"/>
      <c r="AE95" s="106"/>
      <c r="AF95" s="106"/>
      <c r="AG95" s="106"/>
      <c r="AH95" s="106"/>
    </row>
    <row r="96" spans="2:34" s="77" customFormat="1" ht="170" customHeight="1">
      <c r="B96" s="102">
        <f t="shared" si="2"/>
        <v>87</v>
      </c>
      <c r="C96" s="103" t="s">
        <v>403</v>
      </c>
      <c r="D96" s="102" t="s">
        <v>404</v>
      </c>
      <c r="E96" s="106"/>
      <c r="F96" s="106"/>
      <c r="G96" s="102" t="s">
        <v>771</v>
      </c>
      <c r="H96" s="102" t="s">
        <v>194</v>
      </c>
      <c r="I96" s="105" t="s">
        <v>405</v>
      </c>
      <c r="J96" s="102" t="s">
        <v>47</v>
      </c>
      <c r="K96" s="106"/>
      <c r="L96" s="113" t="s">
        <v>406</v>
      </c>
      <c r="M96" s="106"/>
      <c r="N96" s="106" t="s">
        <v>407</v>
      </c>
      <c r="O96" s="106"/>
      <c r="P96" s="102"/>
      <c r="Q96" s="106"/>
      <c r="R96" s="102"/>
      <c r="S96" s="106"/>
      <c r="T96" s="102">
        <v>0</v>
      </c>
      <c r="U96" s="102">
        <v>0</v>
      </c>
      <c r="V96" s="102">
        <v>1</v>
      </c>
      <c r="W96" s="102">
        <v>1</v>
      </c>
      <c r="X96" s="102">
        <v>1</v>
      </c>
      <c r="Y96" s="102">
        <v>1</v>
      </c>
      <c r="Z96" s="102">
        <v>1</v>
      </c>
      <c r="AA96" s="106"/>
      <c r="AB96" s="106"/>
      <c r="AC96" s="106"/>
      <c r="AD96" s="106"/>
      <c r="AE96" s="106"/>
      <c r="AF96" s="106"/>
      <c r="AG96" s="106"/>
      <c r="AH96" s="106"/>
    </row>
    <row r="97" spans="2:34" s="77" customFormat="1" ht="136" customHeight="1">
      <c r="B97" s="102">
        <f t="shared" si="2"/>
        <v>88</v>
      </c>
      <c r="C97" s="103" t="s">
        <v>408</v>
      </c>
      <c r="D97" s="104" t="s">
        <v>409</v>
      </c>
      <c r="E97" s="106"/>
      <c r="F97" s="106"/>
      <c r="G97" s="102" t="s">
        <v>771</v>
      </c>
      <c r="H97" s="102" t="s">
        <v>205</v>
      </c>
      <c r="I97" s="105" t="s">
        <v>206</v>
      </c>
      <c r="J97" s="102" t="s">
        <v>47</v>
      </c>
      <c r="K97" s="106"/>
      <c r="L97" s="113" t="s">
        <v>410</v>
      </c>
      <c r="M97" s="106"/>
      <c r="N97" s="106" t="s">
        <v>411</v>
      </c>
      <c r="O97" s="106"/>
      <c r="P97" s="102"/>
      <c r="Q97" s="106"/>
      <c r="R97" s="102"/>
      <c r="S97" s="106"/>
      <c r="T97" s="102">
        <v>0</v>
      </c>
      <c r="U97" s="102">
        <v>0</v>
      </c>
      <c r="V97" s="102">
        <v>1</v>
      </c>
      <c r="W97" s="102">
        <v>1</v>
      </c>
      <c r="X97" s="102">
        <v>1</v>
      </c>
      <c r="Y97" s="102">
        <v>1</v>
      </c>
      <c r="Z97" s="102">
        <v>1</v>
      </c>
      <c r="AA97" s="106"/>
      <c r="AB97" s="106"/>
      <c r="AC97" s="106"/>
      <c r="AD97" s="106"/>
      <c r="AE97" s="106"/>
      <c r="AF97" s="106"/>
      <c r="AG97" s="106"/>
      <c r="AH97" s="106"/>
    </row>
    <row r="98" spans="2:34" s="77" customFormat="1" ht="136" customHeight="1">
      <c r="B98" s="102">
        <f t="shared" si="2"/>
        <v>89</v>
      </c>
      <c r="C98" s="103" t="s">
        <v>412</v>
      </c>
      <c r="D98" s="104" t="s">
        <v>413</v>
      </c>
      <c r="E98" s="106"/>
      <c r="F98" s="106"/>
      <c r="G98" s="102" t="s">
        <v>771</v>
      </c>
      <c r="H98" s="102" t="s">
        <v>211</v>
      </c>
      <c r="I98" s="105" t="s">
        <v>212</v>
      </c>
      <c r="J98" s="102" t="s">
        <v>47</v>
      </c>
      <c r="K98" s="106"/>
      <c r="L98" s="113" t="s">
        <v>414</v>
      </c>
      <c r="M98" s="106"/>
      <c r="N98" s="106" t="s">
        <v>415</v>
      </c>
      <c r="O98" s="106"/>
      <c r="P98" s="102"/>
      <c r="Q98" s="106"/>
      <c r="R98" s="102"/>
      <c r="S98" s="106"/>
      <c r="T98" s="102">
        <v>0</v>
      </c>
      <c r="U98" s="102">
        <v>0</v>
      </c>
      <c r="V98" s="102">
        <v>1</v>
      </c>
      <c r="W98" s="102">
        <v>1</v>
      </c>
      <c r="X98" s="102">
        <v>1</v>
      </c>
      <c r="Y98" s="102">
        <v>1</v>
      </c>
      <c r="Z98" s="102">
        <v>1</v>
      </c>
      <c r="AA98" s="106"/>
      <c r="AB98" s="106"/>
      <c r="AC98" s="106"/>
      <c r="AD98" s="106"/>
      <c r="AE98" s="106"/>
      <c r="AF98" s="106"/>
      <c r="AG98" s="106"/>
      <c r="AH98" s="106"/>
    </row>
    <row r="99" spans="2:34" s="77" customFormat="1" ht="136" customHeight="1">
      <c r="B99" s="102">
        <f t="shared" si="2"/>
        <v>90</v>
      </c>
      <c r="C99" s="103" t="s">
        <v>416</v>
      </c>
      <c r="D99" s="104" t="s">
        <v>417</v>
      </c>
      <c r="E99" s="106"/>
      <c r="F99" s="106"/>
      <c r="G99" s="102" t="s">
        <v>771</v>
      </c>
      <c r="H99" s="102" t="s">
        <v>243</v>
      </c>
      <c r="I99" s="105" t="s">
        <v>244</v>
      </c>
      <c r="J99" s="102" t="s">
        <v>47</v>
      </c>
      <c r="K99" s="106"/>
      <c r="L99" s="113" t="s">
        <v>418</v>
      </c>
      <c r="M99" s="106"/>
      <c r="N99" s="106" t="s">
        <v>419</v>
      </c>
      <c r="O99" s="106"/>
      <c r="P99" s="102"/>
      <c r="Q99" s="106"/>
      <c r="R99" s="102"/>
      <c r="S99" s="106"/>
      <c r="T99" s="102">
        <v>0</v>
      </c>
      <c r="U99" s="102">
        <v>0</v>
      </c>
      <c r="V99" s="102">
        <v>1</v>
      </c>
      <c r="W99" s="102">
        <v>1</v>
      </c>
      <c r="X99" s="102">
        <v>1</v>
      </c>
      <c r="Y99" s="102">
        <v>1</v>
      </c>
      <c r="Z99" s="102">
        <v>1</v>
      </c>
      <c r="AA99" s="106"/>
      <c r="AB99" s="106"/>
      <c r="AC99" s="106"/>
      <c r="AD99" s="106"/>
      <c r="AE99" s="106"/>
      <c r="AF99" s="106"/>
      <c r="AG99" s="106"/>
      <c r="AH99" s="106"/>
    </row>
    <row r="100" spans="2:34" s="77" customFormat="1" ht="187" customHeight="1">
      <c r="B100" s="102">
        <f t="shared" si="2"/>
        <v>91</v>
      </c>
      <c r="C100" s="103" t="s">
        <v>420</v>
      </c>
      <c r="D100" s="104" t="s">
        <v>421</v>
      </c>
      <c r="E100" s="106"/>
      <c r="F100" s="106"/>
      <c r="G100" s="102" t="s">
        <v>771</v>
      </c>
      <c r="H100" s="102" t="s">
        <v>59</v>
      </c>
      <c r="I100" s="105" t="s">
        <v>422</v>
      </c>
      <c r="J100" s="102" t="s">
        <v>47</v>
      </c>
      <c r="K100" s="106"/>
      <c r="L100" s="113" t="s">
        <v>423</v>
      </c>
      <c r="M100" s="106"/>
      <c r="N100" s="106" t="s">
        <v>424</v>
      </c>
      <c r="O100" s="106"/>
      <c r="P100" s="102"/>
      <c r="Q100" s="106"/>
      <c r="R100" s="102"/>
      <c r="S100" s="106"/>
      <c r="T100" s="102">
        <v>0</v>
      </c>
      <c r="U100" s="102">
        <v>0</v>
      </c>
      <c r="V100" s="102">
        <v>1</v>
      </c>
      <c r="W100" s="102">
        <v>1</v>
      </c>
      <c r="X100" s="102">
        <v>1</v>
      </c>
      <c r="Y100" s="102">
        <v>1</v>
      </c>
      <c r="Z100" s="102">
        <v>1</v>
      </c>
      <c r="AA100" s="106"/>
      <c r="AB100" s="106"/>
      <c r="AC100" s="106"/>
      <c r="AD100" s="106"/>
      <c r="AE100" s="106"/>
      <c r="AF100" s="106"/>
      <c r="AG100" s="106"/>
      <c r="AH100" s="106"/>
    </row>
    <row r="101" spans="2:34" s="77" customFormat="1" ht="119" customHeight="1">
      <c r="B101" s="102">
        <f t="shared" si="2"/>
        <v>92</v>
      </c>
      <c r="C101" s="103" t="s">
        <v>425</v>
      </c>
      <c r="D101" s="104" t="s">
        <v>426</v>
      </c>
      <c r="E101" s="106"/>
      <c r="F101" s="106"/>
      <c r="G101" s="102" t="s">
        <v>771</v>
      </c>
      <c r="H101" s="102" t="s">
        <v>211</v>
      </c>
      <c r="I101" s="105" t="s">
        <v>427</v>
      </c>
      <c r="J101" s="102" t="s">
        <v>47</v>
      </c>
      <c r="K101" s="106"/>
      <c r="L101" s="113" t="s">
        <v>428</v>
      </c>
      <c r="M101" s="106"/>
      <c r="N101" s="106" t="s">
        <v>429</v>
      </c>
      <c r="O101" s="106"/>
      <c r="P101" s="102"/>
      <c r="Q101" s="106"/>
      <c r="R101" s="102"/>
      <c r="S101" s="106"/>
      <c r="T101" s="102">
        <v>0</v>
      </c>
      <c r="U101" s="102">
        <v>0</v>
      </c>
      <c r="V101" s="102">
        <v>1</v>
      </c>
      <c r="W101" s="102">
        <v>1</v>
      </c>
      <c r="X101" s="102">
        <v>1</v>
      </c>
      <c r="Y101" s="102">
        <v>1</v>
      </c>
      <c r="Z101" s="102">
        <v>1</v>
      </c>
      <c r="AA101" s="106"/>
      <c r="AB101" s="106"/>
      <c r="AC101" s="106"/>
      <c r="AD101" s="106"/>
      <c r="AE101" s="106"/>
      <c r="AF101" s="106"/>
      <c r="AG101" s="106"/>
      <c r="AH101" s="106"/>
    </row>
    <row r="102" spans="2:34" s="77" customFormat="1" ht="170" customHeight="1">
      <c r="B102" s="102">
        <f t="shared" si="2"/>
        <v>93</v>
      </c>
      <c r="C102" s="103" t="s">
        <v>430</v>
      </c>
      <c r="D102" s="104" t="s">
        <v>431</v>
      </c>
      <c r="E102" s="106"/>
      <c r="F102" s="106"/>
      <c r="G102" s="102" t="s">
        <v>771</v>
      </c>
      <c r="H102" s="102" t="s">
        <v>59</v>
      </c>
      <c r="I102" s="105" t="s">
        <v>432</v>
      </c>
      <c r="J102" s="102" t="s">
        <v>47</v>
      </c>
      <c r="K102" s="106"/>
      <c r="L102" s="113" t="s">
        <v>433</v>
      </c>
      <c r="M102" s="106"/>
      <c r="N102" s="106" t="s">
        <v>434</v>
      </c>
      <c r="O102" s="106"/>
      <c r="P102" s="102"/>
      <c r="Q102" s="106"/>
      <c r="R102" s="102"/>
      <c r="S102" s="106"/>
      <c r="T102" s="102">
        <v>0</v>
      </c>
      <c r="U102" s="102">
        <v>0</v>
      </c>
      <c r="V102" s="102">
        <v>1</v>
      </c>
      <c r="W102" s="102">
        <v>1</v>
      </c>
      <c r="X102" s="102">
        <v>1</v>
      </c>
      <c r="Y102" s="102">
        <v>1</v>
      </c>
      <c r="Z102" s="102">
        <v>1</v>
      </c>
      <c r="AA102" s="106"/>
      <c r="AB102" s="106"/>
      <c r="AC102" s="106"/>
      <c r="AD102" s="106"/>
      <c r="AE102" s="106"/>
      <c r="AF102" s="106"/>
      <c r="AG102" s="106"/>
      <c r="AH102" s="106"/>
    </row>
    <row r="103" spans="2:34" s="77" customFormat="1" ht="119" customHeight="1">
      <c r="B103" s="102">
        <f t="shared" si="2"/>
        <v>94</v>
      </c>
      <c r="C103" s="103" t="s">
        <v>435</v>
      </c>
      <c r="D103" s="104" t="s">
        <v>436</v>
      </c>
      <c r="E103" s="106"/>
      <c r="F103" s="106"/>
      <c r="G103" s="102" t="s">
        <v>771</v>
      </c>
      <c r="H103" s="102" t="s">
        <v>437</v>
      </c>
      <c r="I103" s="105" t="s">
        <v>438</v>
      </c>
      <c r="J103" s="102" t="s">
        <v>47</v>
      </c>
      <c r="K103" s="106"/>
      <c r="L103" s="113" t="s">
        <v>439</v>
      </c>
      <c r="M103" s="106"/>
      <c r="N103" s="106" t="s">
        <v>440</v>
      </c>
      <c r="O103" s="106"/>
      <c r="P103" s="102"/>
      <c r="Q103" s="106"/>
      <c r="R103" s="102"/>
      <c r="S103" s="106"/>
      <c r="T103" s="102">
        <v>0</v>
      </c>
      <c r="U103" s="102">
        <v>0</v>
      </c>
      <c r="V103" s="102">
        <v>1</v>
      </c>
      <c r="W103" s="102">
        <v>1</v>
      </c>
      <c r="X103" s="102">
        <v>1</v>
      </c>
      <c r="Y103" s="102">
        <v>1</v>
      </c>
      <c r="Z103" s="102">
        <v>1</v>
      </c>
      <c r="AA103" s="106"/>
      <c r="AB103" s="106"/>
      <c r="AC103" s="106"/>
      <c r="AD103" s="106"/>
      <c r="AE103" s="106"/>
      <c r="AF103" s="106"/>
      <c r="AG103" s="106"/>
      <c r="AH103" s="106"/>
    </row>
    <row r="104" spans="2:34" s="77" customFormat="1" ht="136" customHeight="1">
      <c r="B104" s="102">
        <f t="shared" si="2"/>
        <v>95</v>
      </c>
      <c r="C104" s="103" t="s">
        <v>441</v>
      </c>
      <c r="D104" s="104" t="s">
        <v>442</v>
      </c>
      <c r="E104" s="106"/>
      <c r="F104" s="106"/>
      <c r="G104" s="102" t="s">
        <v>771</v>
      </c>
      <c r="H104" s="102" t="s">
        <v>243</v>
      </c>
      <c r="I104" s="105" t="s">
        <v>244</v>
      </c>
      <c r="J104" s="102" t="s">
        <v>47</v>
      </c>
      <c r="K104" s="106"/>
      <c r="L104" s="113" t="s">
        <v>439</v>
      </c>
      <c r="M104" s="106"/>
      <c r="N104" s="106" t="s">
        <v>443</v>
      </c>
      <c r="O104" s="106"/>
      <c r="P104" s="102"/>
      <c r="Q104" s="106"/>
      <c r="R104" s="102"/>
      <c r="S104" s="106"/>
      <c r="T104" s="102">
        <v>0</v>
      </c>
      <c r="U104" s="102">
        <v>0</v>
      </c>
      <c r="V104" s="102">
        <v>1</v>
      </c>
      <c r="W104" s="102">
        <v>1</v>
      </c>
      <c r="X104" s="102">
        <v>1</v>
      </c>
      <c r="Y104" s="102">
        <v>1</v>
      </c>
      <c r="Z104" s="102">
        <v>1</v>
      </c>
      <c r="AA104" s="106"/>
      <c r="AB104" s="106"/>
      <c r="AC104" s="106"/>
      <c r="AD104" s="106"/>
      <c r="AE104" s="106"/>
      <c r="AF104" s="106"/>
      <c r="AG104" s="106"/>
      <c r="AH104" s="106"/>
    </row>
    <row r="105" spans="2:34" s="77" customFormat="1" ht="187" customHeight="1">
      <c r="B105" s="102">
        <f t="shared" si="2"/>
        <v>96</v>
      </c>
      <c r="C105" s="103" t="s">
        <v>444</v>
      </c>
      <c r="D105" s="104" t="s">
        <v>445</v>
      </c>
      <c r="E105" s="106"/>
      <c r="F105" s="106"/>
      <c r="G105" s="102" t="s">
        <v>771</v>
      </c>
      <c r="H105" s="102" t="s">
        <v>249</v>
      </c>
      <c r="I105" s="105" t="s">
        <v>250</v>
      </c>
      <c r="J105" s="102" t="s">
        <v>47</v>
      </c>
      <c r="K105" s="106"/>
      <c r="L105" s="113" t="s">
        <v>446</v>
      </c>
      <c r="M105" s="106"/>
      <c r="N105" s="106" t="s">
        <v>447</v>
      </c>
      <c r="O105" s="106"/>
      <c r="P105" s="102"/>
      <c r="Q105" s="106"/>
      <c r="R105" s="102"/>
      <c r="S105" s="106"/>
      <c r="T105" s="102">
        <v>0</v>
      </c>
      <c r="U105" s="102">
        <v>0</v>
      </c>
      <c r="V105" s="102">
        <v>1</v>
      </c>
      <c r="W105" s="102">
        <v>1</v>
      </c>
      <c r="X105" s="102">
        <v>1</v>
      </c>
      <c r="Y105" s="102">
        <v>1</v>
      </c>
      <c r="Z105" s="102">
        <v>1</v>
      </c>
      <c r="AA105" s="106"/>
      <c r="AB105" s="106"/>
      <c r="AC105" s="106"/>
      <c r="AD105" s="106"/>
      <c r="AE105" s="106"/>
      <c r="AF105" s="106"/>
      <c r="AG105" s="106"/>
      <c r="AH105" s="106"/>
    </row>
    <row r="106" spans="2:34" s="77" customFormat="1" ht="136" customHeight="1">
      <c r="B106" s="102">
        <f t="shared" si="2"/>
        <v>97</v>
      </c>
      <c r="C106" s="103" t="s">
        <v>448</v>
      </c>
      <c r="D106" s="104" t="s">
        <v>449</v>
      </c>
      <c r="E106" s="106"/>
      <c r="F106" s="106"/>
      <c r="G106" s="102" t="s">
        <v>771</v>
      </c>
      <c r="H106" s="102" t="s">
        <v>243</v>
      </c>
      <c r="I106" s="105" t="s">
        <v>244</v>
      </c>
      <c r="J106" s="102" t="s">
        <v>47</v>
      </c>
      <c r="K106" s="106"/>
      <c r="L106" s="113" t="s">
        <v>450</v>
      </c>
      <c r="M106" s="106"/>
      <c r="N106" s="106" t="s">
        <v>451</v>
      </c>
      <c r="O106" s="106"/>
      <c r="P106" s="102"/>
      <c r="Q106" s="106"/>
      <c r="R106" s="102"/>
      <c r="S106" s="106"/>
      <c r="T106" s="102">
        <v>0</v>
      </c>
      <c r="U106" s="102">
        <v>0</v>
      </c>
      <c r="V106" s="102">
        <v>1</v>
      </c>
      <c r="W106" s="102">
        <v>1</v>
      </c>
      <c r="X106" s="102">
        <v>1</v>
      </c>
      <c r="Y106" s="102">
        <v>1</v>
      </c>
      <c r="Z106" s="102">
        <v>1</v>
      </c>
      <c r="AA106" s="106"/>
      <c r="AB106" s="106"/>
      <c r="AC106" s="106"/>
      <c r="AD106" s="106"/>
      <c r="AE106" s="106"/>
      <c r="AF106" s="106"/>
      <c r="AG106" s="106"/>
      <c r="AH106" s="106"/>
    </row>
    <row r="107" spans="2:34" s="77" customFormat="1" ht="119" customHeight="1">
      <c r="B107" s="102">
        <f t="shared" si="2"/>
        <v>98</v>
      </c>
      <c r="C107" s="103" t="s">
        <v>452</v>
      </c>
      <c r="D107" s="104" t="s">
        <v>453</v>
      </c>
      <c r="E107" s="106"/>
      <c r="F107" s="106"/>
      <c r="G107" s="102" t="s">
        <v>771</v>
      </c>
      <c r="H107" s="102" t="s">
        <v>261</v>
      </c>
      <c r="I107" s="105" t="s">
        <v>262</v>
      </c>
      <c r="J107" s="102" t="s">
        <v>47</v>
      </c>
      <c r="K107" s="106"/>
      <c r="L107" s="113" t="s">
        <v>263</v>
      </c>
      <c r="M107" s="106"/>
      <c r="N107" s="106" t="s">
        <v>454</v>
      </c>
      <c r="O107" s="106"/>
      <c r="P107" s="102"/>
      <c r="Q107" s="106"/>
      <c r="R107" s="102"/>
      <c r="S107" s="106"/>
      <c r="T107" s="102">
        <v>0</v>
      </c>
      <c r="U107" s="102">
        <v>0</v>
      </c>
      <c r="V107" s="102">
        <v>1</v>
      </c>
      <c r="W107" s="102">
        <v>1</v>
      </c>
      <c r="X107" s="102">
        <v>1</v>
      </c>
      <c r="Y107" s="102">
        <v>1</v>
      </c>
      <c r="Z107" s="102">
        <v>1</v>
      </c>
      <c r="AA107" s="106"/>
      <c r="AB107" s="106"/>
      <c r="AC107" s="106"/>
      <c r="AD107" s="106"/>
      <c r="AE107" s="106"/>
      <c r="AF107" s="106"/>
      <c r="AG107" s="106"/>
      <c r="AH107" s="106"/>
    </row>
    <row r="108" spans="2:34" s="77" customFormat="1" ht="119" customHeight="1">
      <c r="B108" s="102">
        <f t="shared" si="2"/>
        <v>99</v>
      </c>
      <c r="C108" s="103" t="s">
        <v>455</v>
      </c>
      <c r="D108" s="104" t="s">
        <v>456</v>
      </c>
      <c r="E108" s="106"/>
      <c r="F108" s="106"/>
      <c r="G108" s="102" t="s">
        <v>771</v>
      </c>
      <c r="H108" s="102" t="s">
        <v>267</v>
      </c>
      <c r="I108" s="105" t="s">
        <v>457</v>
      </c>
      <c r="J108" s="102" t="s">
        <v>47</v>
      </c>
      <c r="K108" s="106"/>
      <c r="L108" s="113" t="s">
        <v>458</v>
      </c>
      <c r="M108" s="106"/>
      <c r="N108" s="106" t="s">
        <v>459</v>
      </c>
      <c r="O108" s="106"/>
      <c r="P108" s="102"/>
      <c r="Q108" s="106"/>
      <c r="R108" s="102"/>
      <c r="S108" s="106"/>
      <c r="T108" s="102">
        <v>0</v>
      </c>
      <c r="U108" s="102">
        <v>0</v>
      </c>
      <c r="V108" s="102">
        <v>1</v>
      </c>
      <c r="W108" s="102">
        <v>1</v>
      </c>
      <c r="X108" s="102">
        <v>1</v>
      </c>
      <c r="Y108" s="102">
        <v>1</v>
      </c>
      <c r="Z108" s="102">
        <v>1</v>
      </c>
      <c r="AA108" s="106"/>
      <c r="AB108" s="106"/>
      <c r="AC108" s="106"/>
      <c r="AD108" s="106"/>
      <c r="AE108" s="106"/>
      <c r="AF108" s="106"/>
      <c r="AG108" s="106"/>
      <c r="AH108" s="106"/>
    </row>
    <row r="109" spans="2:34" s="77" customFormat="1" ht="102" customHeight="1">
      <c r="B109" s="102">
        <f t="shared" si="2"/>
        <v>100</v>
      </c>
      <c r="C109" s="103" t="s">
        <v>460</v>
      </c>
      <c r="D109" s="104" t="s">
        <v>461</v>
      </c>
      <c r="E109" s="106"/>
      <c r="F109" s="106"/>
      <c r="G109" s="102" t="s">
        <v>771</v>
      </c>
      <c r="H109" s="102" t="s">
        <v>273</v>
      </c>
      <c r="I109" s="105" t="s">
        <v>462</v>
      </c>
      <c r="J109" s="102" t="s">
        <v>47</v>
      </c>
      <c r="K109" s="106"/>
      <c r="L109" s="113" t="s">
        <v>463</v>
      </c>
      <c r="M109" s="106"/>
      <c r="N109" s="106" t="s">
        <v>464</v>
      </c>
      <c r="O109" s="106"/>
      <c r="P109" s="102"/>
      <c r="Q109" s="106"/>
      <c r="R109" s="102"/>
      <c r="S109" s="106"/>
      <c r="T109" s="102">
        <v>0</v>
      </c>
      <c r="U109" s="102">
        <v>0</v>
      </c>
      <c r="V109" s="102">
        <v>1</v>
      </c>
      <c r="W109" s="102">
        <v>1</v>
      </c>
      <c r="X109" s="102">
        <v>1</v>
      </c>
      <c r="Y109" s="102">
        <v>1</v>
      </c>
      <c r="Z109" s="102">
        <v>1</v>
      </c>
      <c r="AA109" s="106"/>
      <c r="AB109" s="106"/>
      <c r="AC109" s="106"/>
      <c r="AD109" s="106"/>
      <c r="AE109" s="106"/>
      <c r="AF109" s="106"/>
      <c r="AG109" s="106"/>
      <c r="AH109" s="106"/>
    </row>
    <row r="110" spans="2:34" s="77" customFormat="1" ht="153" customHeight="1">
      <c r="B110" s="102">
        <f t="shared" si="2"/>
        <v>101</v>
      </c>
      <c r="C110" s="103" t="s">
        <v>465</v>
      </c>
      <c r="D110" s="104" t="s">
        <v>466</v>
      </c>
      <c r="E110" s="106"/>
      <c r="F110" s="106"/>
      <c r="G110" s="102" t="s">
        <v>771</v>
      </c>
      <c r="H110" s="102" t="s">
        <v>279</v>
      </c>
      <c r="I110" s="105" t="s">
        <v>467</v>
      </c>
      <c r="J110" s="102" t="s">
        <v>47</v>
      </c>
      <c r="K110" s="106"/>
      <c r="L110" s="113" t="s">
        <v>468</v>
      </c>
      <c r="M110" s="106"/>
      <c r="N110" s="106" t="s">
        <v>469</v>
      </c>
      <c r="O110" s="106"/>
      <c r="P110" s="102"/>
      <c r="Q110" s="106"/>
      <c r="R110" s="102"/>
      <c r="S110" s="106"/>
      <c r="T110" s="102">
        <v>0</v>
      </c>
      <c r="U110" s="102">
        <v>0</v>
      </c>
      <c r="V110" s="102">
        <v>1</v>
      </c>
      <c r="W110" s="102">
        <v>1</v>
      </c>
      <c r="X110" s="102">
        <v>1</v>
      </c>
      <c r="Y110" s="102">
        <v>1</v>
      </c>
      <c r="Z110" s="102">
        <v>1</v>
      </c>
      <c r="AA110" s="106"/>
      <c r="AB110" s="106"/>
      <c r="AC110" s="106"/>
      <c r="AD110" s="106"/>
      <c r="AE110" s="106"/>
      <c r="AF110" s="106"/>
      <c r="AG110" s="106"/>
      <c r="AH110" s="106"/>
    </row>
    <row r="111" spans="2:34" s="77" customFormat="1" ht="102" customHeight="1">
      <c r="B111" s="102">
        <f t="shared" si="2"/>
        <v>102</v>
      </c>
      <c r="C111" s="103" t="s">
        <v>470</v>
      </c>
      <c r="D111" s="104" t="s">
        <v>471</v>
      </c>
      <c r="E111" s="106"/>
      <c r="F111" s="106"/>
      <c r="G111" s="102" t="s">
        <v>771</v>
      </c>
      <c r="H111" s="102" t="s">
        <v>267</v>
      </c>
      <c r="I111" s="105" t="s">
        <v>285</v>
      </c>
      <c r="J111" s="102" t="s">
        <v>47</v>
      </c>
      <c r="K111" s="106"/>
      <c r="L111" s="113" t="s">
        <v>472</v>
      </c>
      <c r="M111" s="106"/>
      <c r="N111" s="106" t="s">
        <v>473</v>
      </c>
      <c r="O111" s="106"/>
      <c r="P111" s="102"/>
      <c r="Q111" s="106"/>
      <c r="R111" s="102"/>
      <c r="S111" s="106"/>
      <c r="T111" s="102">
        <v>0</v>
      </c>
      <c r="U111" s="102">
        <v>0</v>
      </c>
      <c r="V111" s="102">
        <v>1</v>
      </c>
      <c r="W111" s="102">
        <v>1</v>
      </c>
      <c r="X111" s="102">
        <v>1</v>
      </c>
      <c r="Y111" s="102">
        <v>1</v>
      </c>
      <c r="Z111" s="102">
        <v>1</v>
      </c>
      <c r="AA111" s="106"/>
      <c r="AB111" s="106"/>
      <c r="AC111" s="106"/>
      <c r="AD111" s="106"/>
      <c r="AE111" s="106"/>
      <c r="AF111" s="106"/>
      <c r="AG111" s="106"/>
      <c r="AH111" s="106"/>
    </row>
    <row r="112" spans="2:34" s="77" customFormat="1" ht="119" customHeight="1">
      <c r="B112" s="102">
        <f t="shared" si="2"/>
        <v>103</v>
      </c>
      <c r="C112" s="103" t="s">
        <v>474</v>
      </c>
      <c r="D112" s="104" t="s">
        <v>475</v>
      </c>
      <c r="E112" s="106"/>
      <c r="F112" s="106"/>
      <c r="G112" s="102" t="s">
        <v>771</v>
      </c>
      <c r="H112" s="102" t="s">
        <v>279</v>
      </c>
      <c r="I112" s="105" t="s">
        <v>476</v>
      </c>
      <c r="J112" s="102" t="s">
        <v>47</v>
      </c>
      <c r="K112" s="106"/>
      <c r="L112" s="113" t="s">
        <v>477</v>
      </c>
      <c r="M112" s="106"/>
      <c r="N112" s="106" t="s">
        <v>478</v>
      </c>
      <c r="O112" s="106"/>
      <c r="P112" s="102"/>
      <c r="Q112" s="106"/>
      <c r="R112" s="102"/>
      <c r="S112" s="106"/>
      <c r="T112" s="102">
        <v>0</v>
      </c>
      <c r="U112" s="102">
        <v>0</v>
      </c>
      <c r="V112" s="102">
        <v>1</v>
      </c>
      <c r="W112" s="102">
        <v>1</v>
      </c>
      <c r="X112" s="102">
        <v>1</v>
      </c>
      <c r="Y112" s="102">
        <v>1</v>
      </c>
      <c r="Z112" s="102">
        <v>1</v>
      </c>
      <c r="AA112" s="106"/>
      <c r="AB112" s="106"/>
      <c r="AC112" s="106"/>
      <c r="AD112" s="106"/>
      <c r="AE112" s="106"/>
      <c r="AF112" s="106"/>
      <c r="AG112" s="106"/>
      <c r="AH112" s="106"/>
    </row>
    <row r="113" spans="2:34" s="77" customFormat="1" ht="119" customHeight="1">
      <c r="B113" s="102">
        <f t="shared" si="2"/>
        <v>104</v>
      </c>
      <c r="C113" s="103" t="s">
        <v>479</v>
      </c>
      <c r="D113" s="104" t="s">
        <v>480</v>
      </c>
      <c r="E113" s="106"/>
      <c r="F113" s="106"/>
      <c r="G113" s="102" t="s">
        <v>771</v>
      </c>
      <c r="H113" s="102" t="s">
        <v>279</v>
      </c>
      <c r="I113" s="105" t="s">
        <v>295</v>
      </c>
      <c r="J113" s="102" t="s">
        <v>47</v>
      </c>
      <c r="K113" s="106"/>
      <c r="L113" s="113" t="s">
        <v>481</v>
      </c>
      <c r="M113" s="106"/>
      <c r="N113" s="106" t="s">
        <v>482</v>
      </c>
      <c r="O113" s="106"/>
      <c r="P113" s="102"/>
      <c r="Q113" s="106"/>
      <c r="R113" s="102"/>
      <c r="S113" s="106"/>
      <c r="T113" s="102">
        <v>0</v>
      </c>
      <c r="U113" s="102">
        <v>0</v>
      </c>
      <c r="V113" s="102">
        <v>1</v>
      </c>
      <c r="W113" s="102">
        <v>1</v>
      </c>
      <c r="X113" s="102">
        <v>1</v>
      </c>
      <c r="Y113" s="102">
        <v>1</v>
      </c>
      <c r="Z113" s="102">
        <v>1</v>
      </c>
      <c r="AA113" s="106"/>
      <c r="AB113" s="106"/>
      <c r="AC113" s="106"/>
      <c r="AD113" s="106"/>
      <c r="AE113" s="106"/>
      <c r="AF113" s="106"/>
      <c r="AG113" s="106"/>
      <c r="AH113" s="106"/>
    </row>
    <row r="114" spans="2:34" s="77" customFormat="1" ht="119" customHeight="1">
      <c r="B114" s="102">
        <f t="shared" si="2"/>
        <v>105</v>
      </c>
      <c r="C114" s="103" t="s">
        <v>483</v>
      </c>
      <c r="D114" s="104" t="s">
        <v>484</v>
      </c>
      <c r="E114" s="106"/>
      <c r="F114" s="106"/>
      <c r="G114" s="102" t="s">
        <v>771</v>
      </c>
      <c r="H114" s="102" t="s">
        <v>273</v>
      </c>
      <c r="I114" s="105" t="s">
        <v>485</v>
      </c>
      <c r="J114" s="102" t="s">
        <v>47</v>
      </c>
      <c r="K114" s="106"/>
      <c r="L114" s="113" t="s">
        <v>486</v>
      </c>
      <c r="M114" s="106"/>
      <c r="N114" s="106" t="s">
        <v>487</v>
      </c>
      <c r="O114" s="106"/>
      <c r="P114" s="102"/>
      <c r="Q114" s="106"/>
      <c r="R114" s="102"/>
      <c r="S114" s="106"/>
      <c r="T114" s="102">
        <v>0</v>
      </c>
      <c r="U114" s="102">
        <v>0</v>
      </c>
      <c r="V114" s="102">
        <v>1</v>
      </c>
      <c r="W114" s="102">
        <v>1</v>
      </c>
      <c r="X114" s="102">
        <v>1</v>
      </c>
      <c r="Y114" s="102">
        <v>1</v>
      </c>
      <c r="Z114" s="102">
        <v>1</v>
      </c>
      <c r="AA114" s="106"/>
      <c r="AB114" s="106"/>
      <c r="AC114" s="106"/>
      <c r="AD114" s="106"/>
      <c r="AE114" s="106"/>
      <c r="AF114" s="106"/>
      <c r="AG114" s="106"/>
      <c r="AH114" s="106"/>
    </row>
    <row r="115" spans="2:34" s="77" customFormat="1" ht="136" customHeight="1">
      <c r="B115" s="102">
        <f t="shared" si="2"/>
        <v>106</v>
      </c>
      <c r="C115" s="103" t="s">
        <v>488</v>
      </c>
      <c r="D115" s="104" t="s">
        <v>489</v>
      </c>
      <c r="E115" s="106"/>
      <c r="F115" s="106"/>
      <c r="G115" s="102" t="s">
        <v>771</v>
      </c>
      <c r="H115" s="102" t="s">
        <v>243</v>
      </c>
      <c r="I115" s="105" t="s">
        <v>244</v>
      </c>
      <c r="J115" s="102" t="s">
        <v>47</v>
      </c>
      <c r="K115" s="106"/>
      <c r="L115" s="113" t="s">
        <v>490</v>
      </c>
      <c r="M115" s="106"/>
      <c r="N115" s="106" t="s">
        <v>491</v>
      </c>
      <c r="O115" s="106"/>
      <c r="P115" s="102"/>
      <c r="Q115" s="106"/>
      <c r="R115" s="102"/>
      <c r="S115" s="106"/>
      <c r="T115" s="102">
        <v>0</v>
      </c>
      <c r="U115" s="102">
        <v>0</v>
      </c>
      <c r="V115" s="102">
        <v>1</v>
      </c>
      <c r="W115" s="102">
        <v>1</v>
      </c>
      <c r="X115" s="102">
        <v>1</v>
      </c>
      <c r="Y115" s="102">
        <v>1</v>
      </c>
      <c r="Z115" s="102">
        <v>1</v>
      </c>
      <c r="AA115" s="106"/>
      <c r="AB115" s="106"/>
      <c r="AC115" s="106"/>
      <c r="AD115" s="106"/>
      <c r="AE115" s="106"/>
      <c r="AF115" s="106"/>
      <c r="AG115" s="106"/>
      <c r="AH115" s="106"/>
    </row>
    <row r="116" spans="2:34" s="77" customFormat="1" ht="119" customHeight="1">
      <c r="B116" s="102">
        <f t="shared" si="2"/>
        <v>107</v>
      </c>
      <c r="C116" s="103" t="s">
        <v>492</v>
      </c>
      <c r="D116" s="104" t="s">
        <v>493</v>
      </c>
      <c r="E116" s="106"/>
      <c r="F116" s="106"/>
      <c r="G116" s="102" t="s">
        <v>771</v>
      </c>
      <c r="H116" s="102" t="s">
        <v>273</v>
      </c>
      <c r="I116" s="105" t="s">
        <v>300</v>
      </c>
      <c r="J116" s="102" t="s">
        <v>47</v>
      </c>
      <c r="K116" s="106"/>
      <c r="L116" s="113" t="s">
        <v>494</v>
      </c>
      <c r="M116" s="106"/>
      <c r="N116" s="106" t="s">
        <v>495</v>
      </c>
      <c r="O116" s="106"/>
      <c r="P116" s="102"/>
      <c r="Q116" s="106"/>
      <c r="R116" s="102"/>
      <c r="S116" s="106"/>
      <c r="T116" s="102">
        <v>0</v>
      </c>
      <c r="U116" s="102">
        <v>0</v>
      </c>
      <c r="V116" s="102">
        <v>1</v>
      </c>
      <c r="W116" s="102">
        <v>1</v>
      </c>
      <c r="X116" s="102">
        <v>1</v>
      </c>
      <c r="Y116" s="102">
        <v>1</v>
      </c>
      <c r="Z116" s="102">
        <v>1</v>
      </c>
      <c r="AA116" s="106"/>
      <c r="AB116" s="106"/>
      <c r="AC116" s="106"/>
      <c r="AD116" s="106"/>
      <c r="AE116" s="106"/>
      <c r="AF116" s="106"/>
      <c r="AG116" s="106"/>
      <c r="AH116" s="106"/>
    </row>
    <row r="117" spans="2:34" s="77" customFormat="1" ht="136" customHeight="1">
      <c r="B117" s="102">
        <f t="shared" si="2"/>
        <v>108</v>
      </c>
      <c r="C117" s="103" t="s">
        <v>496</v>
      </c>
      <c r="D117" s="104" t="s">
        <v>497</v>
      </c>
      <c r="E117" s="106"/>
      <c r="F117" s="106"/>
      <c r="G117" s="102" t="s">
        <v>771</v>
      </c>
      <c r="H117" s="102" t="s">
        <v>243</v>
      </c>
      <c r="I117" s="105" t="s">
        <v>244</v>
      </c>
      <c r="J117" s="102" t="s">
        <v>47</v>
      </c>
      <c r="K117" s="106"/>
      <c r="L117" s="113" t="s">
        <v>314</v>
      </c>
      <c r="M117" s="106"/>
      <c r="N117" s="106" t="s">
        <v>498</v>
      </c>
      <c r="O117" s="106"/>
      <c r="P117" s="102"/>
      <c r="Q117" s="106"/>
      <c r="R117" s="102"/>
      <c r="S117" s="106"/>
      <c r="T117" s="102">
        <v>0</v>
      </c>
      <c r="U117" s="102">
        <v>0</v>
      </c>
      <c r="V117" s="102">
        <v>1</v>
      </c>
      <c r="W117" s="102">
        <v>1</v>
      </c>
      <c r="X117" s="102">
        <v>1</v>
      </c>
      <c r="Y117" s="102">
        <v>1</v>
      </c>
      <c r="Z117" s="102">
        <v>1</v>
      </c>
      <c r="AA117" s="106"/>
      <c r="AB117" s="106"/>
      <c r="AC117" s="106"/>
      <c r="AD117" s="106"/>
      <c r="AE117" s="106"/>
      <c r="AF117" s="106"/>
      <c r="AG117" s="106"/>
      <c r="AH117" s="106"/>
    </row>
    <row r="118" spans="2:34" s="77" customFormat="1" ht="119" customHeight="1">
      <c r="B118" s="102">
        <f t="shared" si="2"/>
        <v>109</v>
      </c>
      <c r="C118" s="103" t="s">
        <v>499</v>
      </c>
      <c r="D118" s="104" t="s">
        <v>500</v>
      </c>
      <c r="E118" s="106"/>
      <c r="F118" s="106"/>
      <c r="G118" s="102" t="s">
        <v>771</v>
      </c>
      <c r="H118" s="102" t="s">
        <v>273</v>
      </c>
      <c r="I118" s="105" t="s">
        <v>501</v>
      </c>
      <c r="J118" s="102" t="s">
        <v>47</v>
      </c>
      <c r="K118" s="106"/>
      <c r="L118" s="113" t="s">
        <v>319</v>
      </c>
      <c r="M118" s="106"/>
      <c r="N118" s="106" t="s">
        <v>502</v>
      </c>
      <c r="O118" s="106"/>
      <c r="P118" s="102"/>
      <c r="Q118" s="106"/>
      <c r="R118" s="102"/>
      <c r="S118" s="106"/>
      <c r="T118" s="102">
        <v>0</v>
      </c>
      <c r="U118" s="102">
        <v>0</v>
      </c>
      <c r="V118" s="102">
        <v>1</v>
      </c>
      <c r="W118" s="102">
        <v>1</v>
      </c>
      <c r="X118" s="102">
        <v>1</v>
      </c>
      <c r="Y118" s="102">
        <v>1</v>
      </c>
      <c r="Z118" s="102">
        <v>1</v>
      </c>
      <c r="AA118" s="106"/>
      <c r="AB118" s="106"/>
      <c r="AC118" s="106"/>
      <c r="AD118" s="106"/>
      <c r="AE118" s="106"/>
      <c r="AF118" s="106"/>
      <c r="AG118" s="106"/>
      <c r="AH118" s="106"/>
    </row>
    <row r="119" spans="2:34" s="77" customFormat="1" ht="102" customHeight="1">
      <c r="B119" s="102">
        <f t="shared" ref="B119:B154" si="3">IF(ISBLANK($D119),"",ROW()-9)</f>
        <v>110</v>
      </c>
      <c r="C119" s="103" t="s">
        <v>503</v>
      </c>
      <c r="D119" s="104" t="s">
        <v>504</v>
      </c>
      <c r="E119" s="106"/>
      <c r="F119" s="106"/>
      <c r="G119" s="102" t="s">
        <v>771</v>
      </c>
      <c r="H119" s="106" t="s">
        <v>323</v>
      </c>
      <c r="I119" s="105" t="s">
        <v>334</v>
      </c>
      <c r="J119" s="102" t="s">
        <v>47</v>
      </c>
      <c r="K119" s="106"/>
      <c r="L119" s="113" t="s">
        <v>505</v>
      </c>
      <c r="M119" s="106"/>
      <c r="N119" s="106" t="s">
        <v>506</v>
      </c>
      <c r="O119" s="106"/>
      <c r="P119" s="102"/>
      <c r="Q119" s="106"/>
      <c r="R119" s="102"/>
      <c r="S119" s="106"/>
      <c r="T119" s="102">
        <v>0</v>
      </c>
      <c r="U119" s="102">
        <v>0</v>
      </c>
      <c r="V119" s="102">
        <v>1</v>
      </c>
      <c r="W119" s="102">
        <v>1</v>
      </c>
      <c r="X119" s="102">
        <v>1</v>
      </c>
      <c r="Y119" s="102">
        <v>1</v>
      </c>
      <c r="Z119" s="102">
        <v>1</v>
      </c>
      <c r="AA119" s="106"/>
      <c r="AB119" s="106"/>
      <c r="AC119" s="106"/>
      <c r="AD119" s="106"/>
      <c r="AE119" s="106"/>
      <c r="AF119" s="106"/>
      <c r="AG119" s="106"/>
      <c r="AH119" s="106"/>
    </row>
    <row r="120" spans="2:34" s="77" customFormat="1" ht="102" customHeight="1">
      <c r="B120" s="102">
        <f t="shared" si="3"/>
        <v>111</v>
      </c>
      <c r="C120" s="103" t="s">
        <v>507</v>
      </c>
      <c r="D120" s="104" t="s">
        <v>508</v>
      </c>
      <c r="E120" s="106"/>
      <c r="F120" s="106"/>
      <c r="G120" s="102" t="s">
        <v>771</v>
      </c>
      <c r="H120" s="106" t="s">
        <v>323</v>
      </c>
      <c r="I120" s="105" t="s">
        <v>329</v>
      </c>
      <c r="J120" s="102" t="s">
        <v>47</v>
      </c>
      <c r="K120" s="106"/>
      <c r="L120" s="113" t="s">
        <v>509</v>
      </c>
      <c r="M120" s="106"/>
      <c r="N120" s="106" t="s">
        <v>510</v>
      </c>
      <c r="O120" s="106"/>
      <c r="P120" s="102"/>
      <c r="Q120" s="106"/>
      <c r="R120" s="102"/>
      <c r="S120" s="106"/>
      <c r="T120" s="102">
        <v>0</v>
      </c>
      <c r="U120" s="102">
        <v>0</v>
      </c>
      <c r="V120" s="102">
        <v>1</v>
      </c>
      <c r="W120" s="102">
        <v>1</v>
      </c>
      <c r="X120" s="102">
        <v>1</v>
      </c>
      <c r="Y120" s="102">
        <v>1</v>
      </c>
      <c r="Z120" s="102">
        <v>1</v>
      </c>
      <c r="AA120" s="106"/>
      <c r="AB120" s="106"/>
      <c r="AC120" s="106"/>
      <c r="AD120" s="106"/>
      <c r="AE120" s="106"/>
      <c r="AF120" s="106"/>
      <c r="AG120" s="106"/>
      <c r="AH120" s="106"/>
    </row>
    <row r="121" spans="2:34" s="77" customFormat="1" ht="102" customHeight="1">
      <c r="B121" s="102">
        <f t="shared" si="3"/>
        <v>112</v>
      </c>
      <c r="C121" s="103" t="s">
        <v>511</v>
      </c>
      <c r="D121" s="104" t="s">
        <v>512</v>
      </c>
      <c r="E121" s="106"/>
      <c r="F121" s="106"/>
      <c r="G121" s="102" t="s">
        <v>771</v>
      </c>
      <c r="H121" s="106" t="s">
        <v>323</v>
      </c>
      <c r="I121" s="105" t="s">
        <v>334</v>
      </c>
      <c r="J121" s="102" t="s">
        <v>47</v>
      </c>
      <c r="K121" s="106"/>
      <c r="L121" s="113" t="s">
        <v>513</v>
      </c>
      <c r="M121" s="106"/>
      <c r="N121" s="106" t="s">
        <v>514</v>
      </c>
      <c r="O121" s="106"/>
      <c r="P121" s="102"/>
      <c r="Q121" s="106"/>
      <c r="R121" s="102"/>
      <c r="S121" s="106"/>
      <c r="T121" s="102">
        <v>0</v>
      </c>
      <c r="U121" s="102">
        <v>0</v>
      </c>
      <c r="V121" s="102">
        <v>1</v>
      </c>
      <c r="W121" s="102">
        <v>1</v>
      </c>
      <c r="X121" s="102">
        <v>1</v>
      </c>
      <c r="Y121" s="102">
        <v>1</v>
      </c>
      <c r="Z121" s="102">
        <v>1</v>
      </c>
      <c r="AA121" s="106"/>
      <c r="AB121" s="106"/>
      <c r="AC121" s="106"/>
      <c r="AD121" s="106"/>
      <c r="AE121" s="106"/>
      <c r="AF121" s="106"/>
      <c r="AG121" s="106"/>
      <c r="AH121" s="106"/>
    </row>
    <row r="122" spans="2:34" s="77" customFormat="1" ht="102" customHeight="1">
      <c r="B122" s="102">
        <f t="shared" si="3"/>
        <v>113</v>
      </c>
      <c r="C122" s="103" t="s">
        <v>515</v>
      </c>
      <c r="D122" s="104" t="s">
        <v>516</v>
      </c>
      <c r="E122" s="106"/>
      <c r="F122" s="106"/>
      <c r="G122" s="102" t="s">
        <v>771</v>
      </c>
      <c r="H122" s="106" t="s">
        <v>339</v>
      </c>
      <c r="I122" s="105" t="s">
        <v>517</v>
      </c>
      <c r="J122" s="102" t="s">
        <v>47</v>
      </c>
      <c r="K122" s="106"/>
      <c r="L122" s="113" t="s">
        <v>518</v>
      </c>
      <c r="M122" s="106"/>
      <c r="N122" s="106" t="s">
        <v>519</v>
      </c>
      <c r="O122" s="106"/>
      <c r="P122" s="102"/>
      <c r="Q122" s="106"/>
      <c r="R122" s="102"/>
      <c r="S122" s="106"/>
      <c r="T122" s="102">
        <v>0</v>
      </c>
      <c r="U122" s="102">
        <v>0</v>
      </c>
      <c r="V122" s="102">
        <v>1</v>
      </c>
      <c r="W122" s="102">
        <v>1</v>
      </c>
      <c r="X122" s="102">
        <v>1</v>
      </c>
      <c r="Y122" s="102">
        <v>1</v>
      </c>
      <c r="Z122" s="102">
        <v>1</v>
      </c>
      <c r="AA122" s="106"/>
      <c r="AB122" s="106"/>
      <c r="AC122" s="106"/>
      <c r="AD122" s="106"/>
      <c r="AE122" s="106"/>
      <c r="AF122" s="106"/>
      <c r="AG122" s="106"/>
      <c r="AH122" s="106"/>
    </row>
    <row r="123" spans="2:34" s="77" customFormat="1" ht="204" customHeight="1">
      <c r="B123" s="102">
        <f t="shared" si="3"/>
        <v>114</v>
      </c>
      <c r="C123" s="103" t="s">
        <v>520</v>
      </c>
      <c r="D123" s="104" t="s">
        <v>521</v>
      </c>
      <c r="E123" s="106"/>
      <c r="F123" s="106"/>
      <c r="G123" s="102" t="s">
        <v>771</v>
      </c>
      <c r="H123" s="106" t="s">
        <v>339</v>
      </c>
      <c r="I123" s="105" t="s">
        <v>340</v>
      </c>
      <c r="J123" s="102" t="s">
        <v>47</v>
      </c>
      <c r="K123" s="106"/>
      <c r="L123" s="113" t="s">
        <v>522</v>
      </c>
      <c r="M123" s="106"/>
      <c r="N123" s="106" t="s">
        <v>523</v>
      </c>
      <c r="O123" s="106"/>
      <c r="P123" s="102"/>
      <c r="Q123" s="106"/>
      <c r="R123" s="102"/>
      <c r="S123" s="106"/>
      <c r="T123" s="102">
        <v>0</v>
      </c>
      <c r="U123" s="102">
        <v>0</v>
      </c>
      <c r="V123" s="102">
        <v>1</v>
      </c>
      <c r="W123" s="102">
        <v>1</v>
      </c>
      <c r="X123" s="102">
        <v>1</v>
      </c>
      <c r="Y123" s="102">
        <v>1</v>
      </c>
      <c r="Z123" s="102">
        <v>1</v>
      </c>
      <c r="AA123" s="106"/>
      <c r="AB123" s="106"/>
      <c r="AC123" s="106"/>
      <c r="AD123" s="106"/>
      <c r="AE123" s="106"/>
      <c r="AF123" s="106"/>
      <c r="AG123" s="106"/>
      <c r="AH123" s="106"/>
    </row>
    <row r="124" spans="2:34" s="77" customFormat="1" ht="102" customHeight="1">
      <c r="B124" s="102">
        <f t="shared" si="3"/>
        <v>115</v>
      </c>
      <c r="C124" s="103" t="s">
        <v>524</v>
      </c>
      <c r="D124" s="104" t="s">
        <v>525</v>
      </c>
      <c r="E124" s="106"/>
      <c r="F124" s="106"/>
      <c r="G124" s="102" t="s">
        <v>771</v>
      </c>
      <c r="H124" s="106" t="s">
        <v>323</v>
      </c>
      <c r="I124" s="105" t="s">
        <v>334</v>
      </c>
      <c r="J124" s="102" t="s">
        <v>47</v>
      </c>
      <c r="K124" s="106"/>
      <c r="L124" s="113" t="s">
        <v>526</v>
      </c>
      <c r="M124" s="106"/>
      <c r="N124" s="106" t="s">
        <v>527</v>
      </c>
      <c r="O124" s="106"/>
      <c r="P124" s="102"/>
      <c r="Q124" s="106"/>
      <c r="R124" s="102"/>
      <c r="S124" s="106"/>
      <c r="T124" s="102">
        <v>0</v>
      </c>
      <c r="U124" s="102">
        <v>0</v>
      </c>
      <c r="V124" s="102">
        <v>1</v>
      </c>
      <c r="W124" s="102">
        <v>1</v>
      </c>
      <c r="X124" s="102">
        <v>1</v>
      </c>
      <c r="Y124" s="102">
        <v>1</v>
      </c>
      <c r="Z124" s="102">
        <v>1</v>
      </c>
      <c r="AA124" s="106"/>
      <c r="AB124" s="106"/>
      <c r="AC124" s="106"/>
      <c r="AD124" s="106"/>
      <c r="AE124" s="106"/>
      <c r="AF124" s="106"/>
      <c r="AG124" s="106"/>
      <c r="AH124" s="106"/>
    </row>
    <row r="125" spans="2:34" s="77" customFormat="1" ht="102" customHeight="1">
      <c r="B125" s="102">
        <f t="shared" si="3"/>
        <v>116</v>
      </c>
      <c r="C125" s="103" t="s">
        <v>528</v>
      </c>
      <c r="D125" s="104" t="s">
        <v>529</v>
      </c>
      <c r="E125" s="106"/>
      <c r="F125" s="106"/>
      <c r="G125" s="102" t="s">
        <v>771</v>
      </c>
      <c r="H125" s="102" t="s">
        <v>355</v>
      </c>
      <c r="I125" s="105" t="s">
        <v>530</v>
      </c>
      <c r="J125" s="102" t="s">
        <v>47</v>
      </c>
      <c r="K125" s="106"/>
      <c r="L125" s="113" t="s">
        <v>531</v>
      </c>
      <c r="M125" s="106"/>
      <c r="N125" s="106" t="s">
        <v>532</v>
      </c>
      <c r="O125" s="106"/>
      <c r="P125" s="102"/>
      <c r="Q125" s="106"/>
      <c r="R125" s="102"/>
      <c r="S125" s="106"/>
      <c r="T125" s="102">
        <v>0</v>
      </c>
      <c r="U125" s="102">
        <v>0</v>
      </c>
      <c r="V125" s="102">
        <v>1</v>
      </c>
      <c r="W125" s="102">
        <v>1</v>
      </c>
      <c r="X125" s="102">
        <v>1</v>
      </c>
      <c r="Y125" s="102">
        <v>1</v>
      </c>
      <c r="Z125" s="102">
        <v>1</v>
      </c>
      <c r="AA125" s="106"/>
      <c r="AB125" s="106"/>
      <c r="AC125" s="106"/>
      <c r="AD125" s="106"/>
      <c r="AE125" s="106"/>
      <c r="AF125" s="106"/>
      <c r="AG125" s="106"/>
      <c r="AH125" s="106"/>
    </row>
    <row r="126" spans="2:34" s="77" customFormat="1" ht="204" customHeight="1">
      <c r="B126" s="102">
        <f t="shared" si="3"/>
        <v>117</v>
      </c>
      <c r="C126" s="103" t="s">
        <v>533</v>
      </c>
      <c r="D126" s="104" t="s">
        <v>534</v>
      </c>
      <c r="E126" s="106"/>
      <c r="F126" s="106"/>
      <c r="G126" s="102" t="s">
        <v>771</v>
      </c>
      <c r="H126" s="102" t="s">
        <v>70</v>
      </c>
      <c r="I126" s="105" t="s">
        <v>535</v>
      </c>
      <c r="J126" s="102" t="s">
        <v>47</v>
      </c>
      <c r="K126" s="106"/>
      <c r="L126" s="113" t="s">
        <v>536</v>
      </c>
      <c r="M126" s="106"/>
      <c r="N126" s="106" t="s">
        <v>537</v>
      </c>
      <c r="O126" s="106"/>
      <c r="P126" s="102"/>
      <c r="Q126" s="106"/>
      <c r="R126" s="102"/>
      <c r="S126" s="106"/>
      <c r="T126" s="102">
        <v>0</v>
      </c>
      <c r="U126" s="102">
        <v>0</v>
      </c>
      <c r="V126" s="102">
        <v>1</v>
      </c>
      <c r="W126" s="102">
        <v>1</v>
      </c>
      <c r="X126" s="102">
        <v>1</v>
      </c>
      <c r="Y126" s="102">
        <v>1</v>
      </c>
      <c r="Z126" s="102">
        <v>1</v>
      </c>
      <c r="AA126" s="106"/>
      <c r="AB126" s="106"/>
      <c r="AC126" s="106"/>
      <c r="AD126" s="106"/>
      <c r="AE126" s="106"/>
      <c r="AF126" s="106"/>
      <c r="AG126" s="106"/>
      <c r="AH126" s="106"/>
    </row>
    <row r="127" spans="2:34" s="77" customFormat="1" ht="126">
      <c r="B127" s="102">
        <f t="shared" si="3"/>
        <v>118</v>
      </c>
      <c r="C127" s="103" t="s">
        <v>538</v>
      </c>
      <c r="D127" s="104" t="s">
        <v>539</v>
      </c>
      <c r="E127" s="106"/>
      <c r="F127" s="106"/>
      <c r="G127" s="102" t="s">
        <v>771</v>
      </c>
      <c r="H127" s="102" t="s">
        <v>848</v>
      </c>
      <c r="I127" s="105" t="s">
        <v>868</v>
      </c>
      <c r="J127" s="114" t="s">
        <v>895</v>
      </c>
      <c r="K127" s="106" t="s">
        <v>781</v>
      </c>
      <c r="L127" s="113" t="s">
        <v>869</v>
      </c>
      <c r="M127" s="107" t="s">
        <v>870</v>
      </c>
      <c r="N127" s="107" t="s">
        <v>871</v>
      </c>
      <c r="O127" s="106" t="s">
        <v>839</v>
      </c>
      <c r="P127" s="102" t="s">
        <v>817</v>
      </c>
      <c r="Q127" s="106"/>
      <c r="R127" s="102" t="s">
        <v>736</v>
      </c>
      <c r="S127" s="106" t="s">
        <v>781</v>
      </c>
      <c r="T127" s="102">
        <v>0</v>
      </c>
      <c r="U127" s="102">
        <v>0</v>
      </c>
      <c r="V127" s="102">
        <v>1</v>
      </c>
      <c r="W127" s="102">
        <v>1</v>
      </c>
      <c r="X127" s="102">
        <v>1</v>
      </c>
      <c r="Y127" s="102">
        <v>1</v>
      </c>
      <c r="Z127" s="102">
        <v>1</v>
      </c>
      <c r="AA127" s="106" t="s">
        <v>782</v>
      </c>
      <c r="AB127" s="106"/>
      <c r="AC127" s="106"/>
      <c r="AD127" s="106"/>
      <c r="AE127" s="106"/>
      <c r="AF127" s="106"/>
      <c r="AG127" s="106"/>
      <c r="AH127" s="110" t="s">
        <v>773</v>
      </c>
    </row>
    <row r="128" spans="2:34" s="77" customFormat="1" ht="140">
      <c r="B128" s="102">
        <f t="shared" si="3"/>
        <v>119</v>
      </c>
      <c r="C128" s="103" t="s">
        <v>538</v>
      </c>
      <c r="D128" s="104" t="s">
        <v>539</v>
      </c>
      <c r="E128" s="106"/>
      <c r="F128" s="106"/>
      <c r="G128" s="102" t="s">
        <v>771</v>
      </c>
      <c r="H128" s="102" t="s">
        <v>848</v>
      </c>
      <c r="I128" s="105" t="s">
        <v>872</v>
      </c>
      <c r="J128" s="114" t="s">
        <v>896</v>
      </c>
      <c r="K128" s="106" t="s">
        <v>781</v>
      </c>
      <c r="L128" s="113" t="s">
        <v>873</v>
      </c>
      <c r="M128" s="107" t="s">
        <v>874</v>
      </c>
      <c r="N128" s="107" t="s">
        <v>871</v>
      </c>
      <c r="O128" s="106" t="s">
        <v>839</v>
      </c>
      <c r="P128" s="102" t="s">
        <v>817</v>
      </c>
      <c r="Q128" s="106"/>
      <c r="R128" s="102" t="s">
        <v>736</v>
      </c>
      <c r="S128" s="106" t="s">
        <v>781</v>
      </c>
      <c r="T128" s="102">
        <v>0</v>
      </c>
      <c r="U128" s="102">
        <v>0</v>
      </c>
      <c r="V128" s="102">
        <v>1</v>
      </c>
      <c r="W128" s="102">
        <v>1</v>
      </c>
      <c r="X128" s="102">
        <v>1</v>
      </c>
      <c r="Y128" s="102">
        <v>1</v>
      </c>
      <c r="Z128" s="102">
        <v>1</v>
      </c>
      <c r="AA128" s="106" t="s">
        <v>782</v>
      </c>
      <c r="AB128" s="106"/>
      <c r="AC128" s="106"/>
      <c r="AD128" s="106"/>
      <c r="AE128" s="106"/>
      <c r="AF128" s="106"/>
      <c r="AG128" s="106"/>
      <c r="AH128" s="110" t="s">
        <v>773</v>
      </c>
    </row>
    <row r="129" spans="2:34" s="77" customFormat="1" ht="154">
      <c r="B129" s="102">
        <f t="shared" si="3"/>
        <v>120</v>
      </c>
      <c r="C129" s="103" t="s">
        <v>540</v>
      </c>
      <c r="D129" s="104" t="s">
        <v>541</v>
      </c>
      <c r="E129" s="106"/>
      <c r="F129" s="106"/>
      <c r="G129" s="102" t="s">
        <v>771</v>
      </c>
      <c r="H129" s="102" t="s">
        <v>848</v>
      </c>
      <c r="I129" s="105" t="s">
        <v>875</v>
      </c>
      <c r="J129" s="114" t="s">
        <v>897</v>
      </c>
      <c r="K129" s="106" t="s">
        <v>781</v>
      </c>
      <c r="L129" s="113" t="s">
        <v>876</v>
      </c>
      <c r="M129" s="107" t="s">
        <v>877</v>
      </c>
      <c r="N129" s="107" t="s">
        <v>878</v>
      </c>
      <c r="O129" s="106" t="s">
        <v>839</v>
      </c>
      <c r="P129" s="102" t="s">
        <v>783</v>
      </c>
      <c r="Q129" s="106"/>
      <c r="R129" s="102" t="s">
        <v>736</v>
      </c>
      <c r="S129" s="106" t="s">
        <v>781</v>
      </c>
      <c r="T129" s="102">
        <v>0</v>
      </c>
      <c r="U129" s="102">
        <v>0</v>
      </c>
      <c r="V129" s="102">
        <v>1</v>
      </c>
      <c r="W129" s="102">
        <v>1</v>
      </c>
      <c r="X129" s="102">
        <v>1</v>
      </c>
      <c r="Y129" s="102">
        <v>1</v>
      </c>
      <c r="Z129" s="102">
        <v>1</v>
      </c>
      <c r="AA129" s="106" t="s">
        <v>782</v>
      </c>
      <c r="AB129" s="106"/>
      <c r="AC129" s="106"/>
      <c r="AD129" s="106"/>
      <c r="AE129" s="106"/>
      <c r="AF129" s="106"/>
      <c r="AG129" s="106"/>
      <c r="AH129" s="110" t="s">
        <v>773</v>
      </c>
    </row>
    <row r="130" spans="2:34" s="77" customFormat="1" ht="168">
      <c r="B130" s="102">
        <f t="shared" si="3"/>
        <v>121</v>
      </c>
      <c r="C130" s="103" t="s">
        <v>540</v>
      </c>
      <c r="D130" s="104" t="s">
        <v>541</v>
      </c>
      <c r="E130" s="106"/>
      <c r="F130" s="106"/>
      <c r="G130" s="102" t="s">
        <v>771</v>
      </c>
      <c r="H130" s="102" t="s">
        <v>848</v>
      </c>
      <c r="I130" s="105" t="s">
        <v>879</v>
      </c>
      <c r="J130" s="114" t="s">
        <v>898</v>
      </c>
      <c r="K130" s="106" t="s">
        <v>781</v>
      </c>
      <c r="L130" s="113" t="s">
        <v>880</v>
      </c>
      <c r="M130" s="107" t="s">
        <v>881</v>
      </c>
      <c r="N130" s="107" t="s">
        <v>878</v>
      </c>
      <c r="O130" s="106" t="s">
        <v>839</v>
      </c>
      <c r="P130" s="102" t="s">
        <v>783</v>
      </c>
      <c r="Q130" s="106"/>
      <c r="R130" s="102" t="s">
        <v>736</v>
      </c>
      <c r="S130" s="106" t="s">
        <v>781</v>
      </c>
      <c r="T130" s="102">
        <v>0</v>
      </c>
      <c r="U130" s="102">
        <v>0</v>
      </c>
      <c r="V130" s="102">
        <v>1</v>
      </c>
      <c r="W130" s="102">
        <v>1</v>
      </c>
      <c r="X130" s="102">
        <v>1</v>
      </c>
      <c r="Y130" s="102">
        <v>1</v>
      </c>
      <c r="Z130" s="102">
        <v>1</v>
      </c>
      <c r="AA130" s="106" t="s">
        <v>782</v>
      </c>
      <c r="AB130" s="106"/>
      <c r="AC130" s="106"/>
      <c r="AD130" s="106"/>
      <c r="AE130" s="106"/>
      <c r="AF130" s="106"/>
      <c r="AG130" s="106"/>
      <c r="AH130" s="110" t="s">
        <v>773</v>
      </c>
    </row>
    <row r="131" spans="2:34" s="77" customFormat="1" ht="68" customHeight="1">
      <c r="B131" s="102">
        <f t="shared" si="3"/>
        <v>122</v>
      </c>
      <c r="C131" s="103" t="s">
        <v>542</v>
      </c>
      <c r="D131" s="104" t="s">
        <v>543</v>
      </c>
      <c r="E131" s="106"/>
      <c r="F131" s="106"/>
      <c r="G131" s="102" t="s">
        <v>771</v>
      </c>
      <c r="H131" s="102" t="s">
        <v>544</v>
      </c>
      <c r="I131" s="105" t="s">
        <v>545</v>
      </c>
      <c r="J131" s="102" t="s">
        <v>47</v>
      </c>
      <c r="K131" s="106"/>
      <c r="L131" s="114" t="s">
        <v>546</v>
      </c>
      <c r="M131" s="102"/>
      <c r="N131" s="102" t="s">
        <v>547</v>
      </c>
      <c r="O131" s="106"/>
      <c r="P131" s="102"/>
      <c r="Q131" s="106"/>
      <c r="R131" s="102"/>
      <c r="S131" s="106"/>
      <c r="T131" s="102">
        <v>0</v>
      </c>
      <c r="U131" s="102">
        <v>0</v>
      </c>
      <c r="V131" s="102">
        <v>1</v>
      </c>
      <c r="W131" s="102">
        <v>1</v>
      </c>
      <c r="X131" s="102">
        <v>1</v>
      </c>
      <c r="Y131" s="102">
        <v>1</v>
      </c>
      <c r="Z131" s="102">
        <v>1</v>
      </c>
      <c r="AA131" s="106"/>
      <c r="AB131" s="106"/>
      <c r="AC131" s="106"/>
      <c r="AD131" s="106"/>
      <c r="AE131" s="106"/>
      <c r="AF131" s="106"/>
      <c r="AG131" s="106"/>
      <c r="AH131" s="106"/>
    </row>
    <row r="132" spans="2:34" s="77" customFormat="1" ht="68" customHeight="1">
      <c r="B132" s="102">
        <f t="shared" si="3"/>
        <v>123</v>
      </c>
      <c r="C132" s="103" t="s">
        <v>548</v>
      </c>
      <c r="D132" s="104" t="s">
        <v>549</v>
      </c>
      <c r="E132" s="106"/>
      <c r="F132" s="106"/>
      <c r="G132" s="102" t="s">
        <v>771</v>
      </c>
      <c r="H132" s="102" t="s">
        <v>550</v>
      </c>
      <c r="I132" s="105" t="s">
        <v>551</v>
      </c>
      <c r="J132" s="102" t="s">
        <v>47</v>
      </c>
      <c r="K132" s="106"/>
      <c r="L132" s="114" t="s">
        <v>552</v>
      </c>
      <c r="M132" s="102"/>
      <c r="N132" s="102" t="s">
        <v>553</v>
      </c>
      <c r="O132" s="106"/>
      <c r="P132" s="102"/>
      <c r="Q132" s="106"/>
      <c r="R132" s="102"/>
      <c r="S132" s="106"/>
      <c r="T132" s="102">
        <v>0</v>
      </c>
      <c r="U132" s="102">
        <v>0</v>
      </c>
      <c r="V132" s="102">
        <v>1</v>
      </c>
      <c r="W132" s="102">
        <v>1</v>
      </c>
      <c r="X132" s="102">
        <v>1</v>
      </c>
      <c r="Y132" s="102">
        <v>1</v>
      </c>
      <c r="Z132" s="102">
        <v>1</v>
      </c>
      <c r="AA132" s="106"/>
      <c r="AB132" s="106"/>
      <c r="AC132" s="106"/>
      <c r="AD132" s="106"/>
      <c r="AE132" s="106"/>
      <c r="AF132" s="106"/>
      <c r="AG132" s="106"/>
      <c r="AH132" s="106"/>
    </row>
    <row r="133" spans="2:34" s="77" customFormat="1" ht="85" customHeight="1">
      <c r="B133" s="102">
        <f t="shared" si="3"/>
        <v>124</v>
      </c>
      <c r="C133" s="103" t="s">
        <v>554</v>
      </c>
      <c r="D133" s="104" t="s">
        <v>555</v>
      </c>
      <c r="E133" s="106"/>
      <c r="F133" s="106"/>
      <c r="G133" s="102" t="s">
        <v>771</v>
      </c>
      <c r="H133" s="102" t="s">
        <v>381</v>
      </c>
      <c r="I133" s="105" t="s">
        <v>382</v>
      </c>
      <c r="J133" s="102" t="s">
        <v>47</v>
      </c>
      <c r="K133" s="106"/>
      <c r="L133" s="113" t="s">
        <v>556</v>
      </c>
      <c r="M133" s="106"/>
      <c r="N133" s="102" t="s">
        <v>557</v>
      </c>
      <c r="O133" s="106"/>
      <c r="P133" s="102"/>
      <c r="Q133" s="106"/>
      <c r="R133" s="102"/>
      <c r="S133" s="106"/>
      <c r="T133" s="102">
        <v>0</v>
      </c>
      <c r="U133" s="102">
        <v>0</v>
      </c>
      <c r="V133" s="102">
        <v>1</v>
      </c>
      <c r="W133" s="102">
        <v>1</v>
      </c>
      <c r="X133" s="102">
        <v>1</v>
      </c>
      <c r="Y133" s="102">
        <v>1</v>
      </c>
      <c r="Z133" s="102">
        <v>1</v>
      </c>
      <c r="AA133" s="106"/>
      <c r="AB133" s="106"/>
      <c r="AC133" s="106"/>
      <c r="AD133" s="106"/>
      <c r="AE133" s="106"/>
      <c r="AF133" s="106"/>
      <c r="AG133" s="106"/>
      <c r="AH133" s="106"/>
    </row>
    <row r="134" spans="2:34" s="77" customFormat="1" ht="85" customHeight="1">
      <c r="B134" s="102">
        <f t="shared" si="3"/>
        <v>125</v>
      </c>
      <c r="C134" s="103" t="s">
        <v>558</v>
      </c>
      <c r="D134" s="104" t="s">
        <v>559</v>
      </c>
      <c r="E134" s="106"/>
      <c r="F134" s="106"/>
      <c r="G134" s="102" t="s">
        <v>771</v>
      </c>
      <c r="H134" s="102" t="s">
        <v>560</v>
      </c>
      <c r="I134" s="105" t="s">
        <v>561</v>
      </c>
      <c r="J134" s="102" t="s">
        <v>47</v>
      </c>
      <c r="K134" s="106"/>
      <c r="L134" s="114" t="s">
        <v>562</v>
      </c>
      <c r="M134" s="102"/>
      <c r="N134" s="102" t="s">
        <v>563</v>
      </c>
      <c r="O134" s="106"/>
      <c r="P134" s="102"/>
      <c r="Q134" s="106"/>
      <c r="R134" s="102"/>
      <c r="S134" s="106"/>
      <c r="T134" s="102">
        <v>0</v>
      </c>
      <c r="U134" s="102">
        <v>0</v>
      </c>
      <c r="V134" s="102">
        <v>1</v>
      </c>
      <c r="W134" s="102">
        <v>1</v>
      </c>
      <c r="X134" s="102">
        <v>1</v>
      </c>
      <c r="Y134" s="102">
        <v>1</v>
      </c>
      <c r="Z134" s="102">
        <v>1</v>
      </c>
      <c r="AA134" s="106"/>
      <c r="AB134" s="106"/>
      <c r="AC134" s="106"/>
      <c r="AD134" s="106"/>
      <c r="AE134" s="106"/>
      <c r="AF134" s="106"/>
      <c r="AG134" s="106"/>
      <c r="AH134" s="106"/>
    </row>
    <row r="135" spans="2:34" s="77" customFormat="1" ht="136" customHeight="1">
      <c r="B135" s="102">
        <f t="shared" si="3"/>
        <v>126</v>
      </c>
      <c r="C135" s="103" t="s">
        <v>564</v>
      </c>
      <c r="D135" s="104" t="s">
        <v>565</v>
      </c>
      <c r="E135" s="106"/>
      <c r="F135" s="106"/>
      <c r="G135" s="102" t="s">
        <v>771</v>
      </c>
      <c r="H135" s="102" t="s">
        <v>566</v>
      </c>
      <c r="I135" s="105" t="s">
        <v>567</v>
      </c>
      <c r="J135" s="102" t="s">
        <v>47</v>
      </c>
      <c r="K135" s="106"/>
      <c r="L135" s="114" t="s">
        <v>568</v>
      </c>
      <c r="M135" s="102"/>
      <c r="N135" s="102" t="s">
        <v>569</v>
      </c>
      <c r="O135" s="106"/>
      <c r="P135" s="102"/>
      <c r="Q135" s="106"/>
      <c r="R135" s="102"/>
      <c r="S135" s="106"/>
      <c r="T135" s="102">
        <v>1</v>
      </c>
      <c r="U135" s="102">
        <v>1</v>
      </c>
      <c r="V135" s="102">
        <v>1</v>
      </c>
      <c r="W135" s="102">
        <v>1</v>
      </c>
      <c r="X135" s="102">
        <v>1</v>
      </c>
      <c r="Y135" s="102">
        <v>1</v>
      </c>
      <c r="Z135" s="102">
        <v>1</v>
      </c>
      <c r="AA135" s="106"/>
      <c r="AB135" s="106"/>
      <c r="AC135" s="106"/>
      <c r="AD135" s="106"/>
      <c r="AE135" s="106"/>
      <c r="AF135" s="106"/>
      <c r="AG135" s="106"/>
      <c r="AH135" s="106"/>
    </row>
    <row r="136" spans="2:34" s="77" customFormat="1" ht="136" customHeight="1">
      <c r="B136" s="102">
        <f t="shared" si="3"/>
        <v>127</v>
      </c>
      <c r="C136" s="103" t="s">
        <v>570</v>
      </c>
      <c r="D136" s="104" t="s">
        <v>571</v>
      </c>
      <c r="E136" s="106"/>
      <c r="F136" s="106"/>
      <c r="G136" s="102" t="s">
        <v>771</v>
      </c>
      <c r="H136" s="102" t="s">
        <v>572</v>
      </c>
      <c r="I136" s="105" t="s">
        <v>573</v>
      </c>
      <c r="J136" s="102" t="s">
        <v>47</v>
      </c>
      <c r="K136" s="106"/>
      <c r="L136" s="114" t="s">
        <v>574</v>
      </c>
      <c r="M136" s="102"/>
      <c r="N136" s="102" t="s">
        <v>575</v>
      </c>
      <c r="O136" s="106"/>
      <c r="P136" s="102"/>
      <c r="Q136" s="106"/>
      <c r="R136" s="102"/>
      <c r="S136" s="106"/>
      <c r="T136" s="102">
        <v>1</v>
      </c>
      <c r="U136" s="102">
        <v>1</v>
      </c>
      <c r="V136" s="102">
        <v>1</v>
      </c>
      <c r="W136" s="102">
        <v>1</v>
      </c>
      <c r="X136" s="102">
        <v>1</v>
      </c>
      <c r="Y136" s="102">
        <v>1</v>
      </c>
      <c r="Z136" s="102">
        <v>1</v>
      </c>
      <c r="AA136" s="106"/>
      <c r="AB136" s="106"/>
      <c r="AC136" s="106"/>
      <c r="AD136" s="106"/>
      <c r="AE136" s="106"/>
      <c r="AF136" s="106"/>
      <c r="AG136" s="106"/>
      <c r="AH136" s="106"/>
    </row>
    <row r="137" spans="2:34" s="77" customFormat="1" ht="136" customHeight="1">
      <c r="B137" s="102">
        <f t="shared" si="3"/>
        <v>128</v>
      </c>
      <c r="C137" s="103" t="s">
        <v>576</v>
      </c>
      <c r="D137" s="104" t="s">
        <v>577</v>
      </c>
      <c r="E137" s="106"/>
      <c r="F137" s="106"/>
      <c r="G137" s="102" t="s">
        <v>771</v>
      </c>
      <c r="H137" s="102" t="s">
        <v>572</v>
      </c>
      <c r="I137" s="105" t="s">
        <v>578</v>
      </c>
      <c r="J137" s="102" t="s">
        <v>47</v>
      </c>
      <c r="K137" s="106"/>
      <c r="L137" s="114" t="s">
        <v>579</v>
      </c>
      <c r="M137" s="102"/>
      <c r="N137" s="102" t="s">
        <v>580</v>
      </c>
      <c r="O137" s="106"/>
      <c r="P137" s="102"/>
      <c r="Q137" s="106"/>
      <c r="R137" s="102"/>
      <c r="S137" s="106"/>
      <c r="T137" s="102">
        <v>0</v>
      </c>
      <c r="U137" s="102">
        <v>0</v>
      </c>
      <c r="V137" s="102">
        <v>1</v>
      </c>
      <c r="W137" s="102">
        <v>1</v>
      </c>
      <c r="X137" s="102">
        <v>1</v>
      </c>
      <c r="Y137" s="102">
        <v>1</v>
      </c>
      <c r="Z137" s="102">
        <v>1</v>
      </c>
      <c r="AA137" s="106"/>
      <c r="AB137" s="106"/>
      <c r="AC137" s="106"/>
      <c r="AD137" s="106"/>
      <c r="AE137" s="106"/>
      <c r="AF137" s="106"/>
      <c r="AG137" s="106"/>
      <c r="AH137" s="106"/>
    </row>
    <row r="138" spans="2:34" s="77" customFormat="1" ht="85" customHeight="1">
      <c r="B138" s="102">
        <f t="shared" si="3"/>
        <v>129</v>
      </c>
      <c r="C138" s="103" t="s">
        <v>581</v>
      </c>
      <c r="D138" s="104" t="s">
        <v>582</v>
      </c>
      <c r="E138" s="106"/>
      <c r="F138" s="106"/>
      <c r="G138" s="102" t="s">
        <v>771</v>
      </c>
      <c r="H138" s="102" t="s">
        <v>583</v>
      </c>
      <c r="I138" s="105" t="s">
        <v>584</v>
      </c>
      <c r="J138" s="102" t="s">
        <v>47</v>
      </c>
      <c r="K138" s="106"/>
      <c r="L138" s="114" t="s">
        <v>585</v>
      </c>
      <c r="M138" s="102"/>
      <c r="N138" s="102" t="s">
        <v>586</v>
      </c>
      <c r="O138" s="106"/>
      <c r="P138" s="102"/>
      <c r="Q138" s="106"/>
      <c r="R138" s="102"/>
      <c r="S138" s="106"/>
      <c r="T138" s="102">
        <v>0</v>
      </c>
      <c r="U138" s="102">
        <v>0</v>
      </c>
      <c r="V138" s="102">
        <v>1</v>
      </c>
      <c r="W138" s="102">
        <v>1</v>
      </c>
      <c r="X138" s="102">
        <v>1</v>
      </c>
      <c r="Y138" s="102">
        <v>1</v>
      </c>
      <c r="Z138" s="102">
        <v>1</v>
      </c>
      <c r="AA138" s="106"/>
      <c r="AB138" s="106"/>
      <c r="AC138" s="106"/>
      <c r="AD138" s="106"/>
      <c r="AE138" s="106"/>
      <c r="AF138" s="106"/>
      <c r="AG138" s="106"/>
      <c r="AH138" s="106"/>
    </row>
    <row r="139" spans="2:34" s="77" customFormat="1" ht="85" customHeight="1">
      <c r="B139" s="102">
        <f t="shared" si="3"/>
        <v>130</v>
      </c>
      <c r="C139" s="103" t="s">
        <v>587</v>
      </c>
      <c r="D139" s="104" t="s">
        <v>588</v>
      </c>
      <c r="E139" s="106"/>
      <c r="F139" s="106"/>
      <c r="G139" s="102" t="s">
        <v>771</v>
      </c>
      <c r="H139" s="102" t="s">
        <v>589</v>
      </c>
      <c r="I139" s="105" t="s">
        <v>590</v>
      </c>
      <c r="J139" s="102" t="s">
        <v>47</v>
      </c>
      <c r="K139" s="106"/>
      <c r="L139" s="114" t="s">
        <v>591</v>
      </c>
      <c r="M139" s="102"/>
      <c r="N139" s="102" t="s">
        <v>592</v>
      </c>
      <c r="O139" s="106"/>
      <c r="P139" s="102"/>
      <c r="Q139" s="106"/>
      <c r="R139" s="102"/>
      <c r="S139" s="106"/>
      <c r="T139" s="102">
        <v>1</v>
      </c>
      <c r="U139" s="102">
        <v>1</v>
      </c>
      <c r="V139" s="102">
        <v>1</v>
      </c>
      <c r="W139" s="102">
        <v>1</v>
      </c>
      <c r="X139" s="102">
        <v>1</v>
      </c>
      <c r="Y139" s="102">
        <v>1</v>
      </c>
      <c r="Z139" s="102">
        <v>1</v>
      </c>
      <c r="AA139" s="106"/>
      <c r="AB139" s="106"/>
      <c r="AC139" s="106"/>
      <c r="AD139" s="106"/>
      <c r="AE139" s="106"/>
      <c r="AF139" s="106"/>
      <c r="AG139" s="106"/>
      <c r="AH139" s="106"/>
    </row>
    <row r="140" spans="2:34" s="77" customFormat="1" ht="85" customHeight="1">
      <c r="B140" s="102">
        <f t="shared" si="3"/>
        <v>131</v>
      </c>
      <c r="C140" s="103" t="s">
        <v>593</v>
      </c>
      <c r="D140" s="104" t="s">
        <v>594</v>
      </c>
      <c r="E140" s="106"/>
      <c r="F140" s="106"/>
      <c r="G140" s="102" t="s">
        <v>771</v>
      </c>
      <c r="H140" s="102" t="s">
        <v>595</v>
      </c>
      <c r="I140" s="105" t="s">
        <v>596</v>
      </c>
      <c r="J140" s="102" t="s">
        <v>47</v>
      </c>
      <c r="K140" s="106"/>
      <c r="L140" s="114" t="s">
        <v>597</v>
      </c>
      <c r="M140" s="102"/>
      <c r="N140" s="102" t="s">
        <v>598</v>
      </c>
      <c r="O140" s="106"/>
      <c r="P140" s="102"/>
      <c r="Q140" s="106"/>
      <c r="R140" s="102"/>
      <c r="S140" s="106"/>
      <c r="T140" s="102">
        <v>1</v>
      </c>
      <c r="U140" s="102">
        <v>1</v>
      </c>
      <c r="V140" s="102">
        <v>1</v>
      </c>
      <c r="W140" s="102">
        <v>1</v>
      </c>
      <c r="X140" s="102">
        <v>1</v>
      </c>
      <c r="Y140" s="102">
        <v>1</v>
      </c>
      <c r="Z140" s="102">
        <v>1</v>
      </c>
      <c r="AA140" s="106"/>
      <c r="AB140" s="106"/>
      <c r="AC140" s="106"/>
      <c r="AD140" s="106"/>
      <c r="AE140" s="106"/>
      <c r="AF140" s="106"/>
      <c r="AG140" s="106"/>
      <c r="AH140" s="106"/>
    </row>
    <row r="141" spans="2:34" s="77" customFormat="1" ht="85" customHeight="1">
      <c r="B141" s="102">
        <f t="shared" si="3"/>
        <v>132</v>
      </c>
      <c r="C141" s="103" t="s">
        <v>599</v>
      </c>
      <c r="D141" s="104" t="s">
        <v>600</v>
      </c>
      <c r="E141" s="106"/>
      <c r="F141" s="106"/>
      <c r="G141" s="102" t="s">
        <v>771</v>
      </c>
      <c r="H141" s="102" t="s">
        <v>601</v>
      </c>
      <c r="I141" s="105" t="s">
        <v>602</v>
      </c>
      <c r="J141" s="102" t="s">
        <v>47</v>
      </c>
      <c r="K141" s="106"/>
      <c r="L141" s="113" t="s">
        <v>603</v>
      </c>
      <c r="M141" s="106"/>
      <c r="N141" s="102" t="s">
        <v>604</v>
      </c>
      <c r="O141" s="106"/>
      <c r="P141" s="102"/>
      <c r="Q141" s="106"/>
      <c r="R141" s="102"/>
      <c r="S141" s="106"/>
      <c r="T141" s="102">
        <v>0</v>
      </c>
      <c r="U141" s="102">
        <v>0</v>
      </c>
      <c r="V141" s="102">
        <v>1</v>
      </c>
      <c r="W141" s="102">
        <v>1</v>
      </c>
      <c r="X141" s="102">
        <v>1</v>
      </c>
      <c r="Y141" s="102">
        <v>1</v>
      </c>
      <c r="Z141" s="102">
        <v>1</v>
      </c>
      <c r="AA141" s="106"/>
      <c r="AB141" s="106"/>
      <c r="AC141" s="106"/>
      <c r="AD141" s="106"/>
      <c r="AE141" s="106"/>
      <c r="AF141" s="106"/>
      <c r="AG141" s="106"/>
      <c r="AH141" s="106"/>
    </row>
    <row r="142" spans="2:34" s="77" customFormat="1" ht="85" customHeight="1">
      <c r="B142" s="102">
        <f t="shared" si="3"/>
        <v>133</v>
      </c>
      <c r="C142" s="103" t="s">
        <v>605</v>
      </c>
      <c r="D142" s="104" t="s">
        <v>606</v>
      </c>
      <c r="E142" s="106"/>
      <c r="F142" s="106"/>
      <c r="G142" s="102" t="s">
        <v>771</v>
      </c>
      <c r="H142" s="102" t="s">
        <v>607</v>
      </c>
      <c r="I142" s="105" t="s">
        <v>608</v>
      </c>
      <c r="J142" s="102" t="s">
        <v>47</v>
      </c>
      <c r="K142" s="106"/>
      <c r="L142" s="113" t="s">
        <v>609</v>
      </c>
      <c r="M142" s="106"/>
      <c r="N142" s="102" t="s">
        <v>610</v>
      </c>
      <c r="O142" s="106"/>
      <c r="P142" s="102"/>
      <c r="Q142" s="106"/>
      <c r="R142" s="102"/>
      <c r="S142" s="106"/>
      <c r="T142" s="102">
        <v>1</v>
      </c>
      <c r="U142" s="102">
        <v>1</v>
      </c>
      <c r="V142" s="102">
        <v>1</v>
      </c>
      <c r="W142" s="102">
        <v>1</v>
      </c>
      <c r="X142" s="102">
        <v>1</v>
      </c>
      <c r="Y142" s="102">
        <v>1</v>
      </c>
      <c r="Z142" s="102">
        <v>1</v>
      </c>
      <c r="AA142" s="106"/>
      <c r="AB142" s="106"/>
      <c r="AC142" s="106"/>
      <c r="AD142" s="106"/>
      <c r="AE142" s="106"/>
      <c r="AF142" s="106"/>
      <c r="AG142" s="106"/>
      <c r="AH142" s="106"/>
    </row>
    <row r="143" spans="2:34" s="77" customFormat="1" ht="85" customHeight="1">
      <c r="B143" s="102">
        <f t="shared" si="3"/>
        <v>134</v>
      </c>
      <c r="C143" s="103" t="s">
        <v>611</v>
      </c>
      <c r="D143" s="104" t="s">
        <v>612</v>
      </c>
      <c r="E143" s="106"/>
      <c r="F143" s="106"/>
      <c r="G143" s="102" t="s">
        <v>771</v>
      </c>
      <c r="H143" s="102" t="s">
        <v>613</v>
      </c>
      <c r="I143" s="105" t="s">
        <v>614</v>
      </c>
      <c r="J143" s="102" t="s">
        <v>47</v>
      </c>
      <c r="K143" s="106"/>
      <c r="L143" s="113" t="s">
        <v>615</v>
      </c>
      <c r="M143" s="106"/>
      <c r="N143" s="102" t="s">
        <v>616</v>
      </c>
      <c r="O143" s="106"/>
      <c r="P143" s="102"/>
      <c r="Q143" s="106"/>
      <c r="R143" s="102"/>
      <c r="S143" s="106"/>
      <c r="T143" s="102">
        <v>0</v>
      </c>
      <c r="U143" s="102">
        <v>0</v>
      </c>
      <c r="V143" s="102">
        <v>1</v>
      </c>
      <c r="W143" s="102">
        <v>1</v>
      </c>
      <c r="X143" s="102">
        <v>1</v>
      </c>
      <c r="Y143" s="102">
        <v>1</v>
      </c>
      <c r="Z143" s="102">
        <v>1</v>
      </c>
      <c r="AA143" s="106"/>
      <c r="AB143" s="106"/>
      <c r="AC143" s="106"/>
      <c r="AD143" s="106"/>
      <c r="AE143" s="106"/>
      <c r="AF143" s="106"/>
      <c r="AG143" s="106"/>
      <c r="AH143" s="106"/>
    </row>
    <row r="144" spans="2:34" s="77" customFormat="1" ht="68" customHeight="1">
      <c r="B144" s="102">
        <f t="shared" si="3"/>
        <v>135</v>
      </c>
      <c r="C144" s="103" t="s">
        <v>617</v>
      </c>
      <c r="D144" s="104" t="s">
        <v>618</v>
      </c>
      <c r="E144" s="106"/>
      <c r="F144" s="106"/>
      <c r="G144" s="102" t="s">
        <v>771</v>
      </c>
      <c r="H144" s="102" t="s">
        <v>619</v>
      </c>
      <c r="I144" s="105" t="s">
        <v>620</v>
      </c>
      <c r="J144" s="102" t="s">
        <v>47</v>
      </c>
      <c r="K144" s="106"/>
      <c r="L144" s="113" t="s">
        <v>621</v>
      </c>
      <c r="M144" s="106"/>
      <c r="N144" s="102" t="s">
        <v>622</v>
      </c>
      <c r="O144" s="106"/>
      <c r="P144" s="102"/>
      <c r="Q144" s="106"/>
      <c r="R144" s="102"/>
      <c r="S144" s="106"/>
      <c r="T144" s="102">
        <v>0</v>
      </c>
      <c r="U144" s="102">
        <v>0</v>
      </c>
      <c r="V144" s="102">
        <v>1</v>
      </c>
      <c r="W144" s="102">
        <v>1</v>
      </c>
      <c r="X144" s="102">
        <v>1</v>
      </c>
      <c r="Y144" s="102">
        <v>1</v>
      </c>
      <c r="Z144" s="102">
        <v>1</v>
      </c>
      <c r="AA144" s="106"/>
      <c r="AB144" s="106"/>
      <c r="AC144" s="106"/>
      <c r="AD144" s="106"/>
      <c r="AE144" s="106"/>
      <c r="AF144" s="106"/>
      <c r="AG144" s="106"/>
      <c r="AH144" s="106"/>
    </row>
    <row r="145" spans="2:34" s="77" customFormat="1" ht="85" customHeight="1">
      <c r="B145" s="102">
        <f t="shared" si="3"/>
        <v>136</v>
      </c>
      <c r="C145" s="103" t="s">
        <v>623</v>
      </c>
      <c r="D145" s="104" t="s">
        <v>624</v>
      </c>
      <c r="E145" s="106"/>
      <c r="F145" s="106"/>
      <c r="G145" s="102" t="s">
        <v>771</v>
      </c>
      <c r="H145" s="102" t="s">
        <v>625</v>
      </c>
      <c r="I145" s="105" t="s">
        <v>626</v>
      </c>
      <c r="J145" s="102" t="s">
        <v>47</v>
      </c>
      <c r="K145" s="106"/>
      <c r="L145" s="113" t="s">
        <v>627</v>
      </c>
      <c r="M145" s="106"/>
      <c r="N145" s="106" t="s">
        <v>628</v>
      </c>
      <c r="O145" s="106"/>
      <c r="P145" s="102"/>
      <c r="Q145" s="106"/>
      <c r="R145" s="102"/>
      <c r="S145" s="106"/>
      <c r="T145" s="102">
        <v>0</v>
      </c>
      <c r="U145" s="102">
        <v>0</v>
      </c>
      <c r="V145" s="102">
        <v>1</v>
      </c>
      <c r="W145" s="102">
        <v>1</v>
      </c>
      <c r="X145" s="102">
        <v>1</v>
      </c>
      <c r="Y145" s="102">
        <v>1</v>
      </c>
      <c r="Z145" s="102">
        <v>1</v>
      </c>
      <c r="AA145" s="106"/>
      <c r="AB145" s="106"/>
      <c r="AC145" s="106"/>
      <c r="AD145" s="106"/>
      <c r="AE145" s="106"/>
      <c r="AF145" s="106"/>
      <c r="AG145" s="106"/>
      <c r="AH145" s="106"/>
    </row>
    <row r="146" spans="2:34" s="77" customFormat="1" ht="85" customHeight="1">
      <c r="B146" s="102">
        <f t="shared" si="3"/>
        <v>137</v>
      </c>
      <c r="C146" s="103" t="s">
        <v>629</v>
      </c>
      <c r="D146" s="104" t="s">
        <v>630</v>
      </c>
      <c r="E146" s="106"/>
      <c r="F146" s="106"/>
      <c r="G146" s="102" t="s">
        <v>771</v>
      </c>
      <c r="H146" s="102" t="s">
        <v>631</v>
      </c>
      <c r="I146" s="105" t="s">
        <v>632</v>
      </c>
      <c r="J146" s="102" t="s">
        <v>47</v>
      </c>
      <c r="K146" s="106"/>
      <c r="L146" s="113" t="s">
        <v>633</v>
      </c>
      <c r="M146" s="106"/>
      <c r="N146" s="106" t="s">
        <v>634</v>
      </c>
      <c r="O146" s="106"/>
      <c r="P146" s="102"/>
      <c r="Q146" s="106"/>
      <c r="R146" s="102"/>
      <c r="S146" s="106"/>
      <c r="T146" s="102">
        <v>0</v>
      </c>
      <c r="U146" s="102">
        <v>0</v>
      </c>
      <c r="V146" s="102">
        <v>1</v>
      </c>
      <c r="W146" s="102">
        <v>1</v>
      </c>
      <c r="X146" s="102">
        <v>1</v>
      </c>
      <c r="Y146" s="102">
        <v>1</v>
      </c>
      <c r="Z146" s="102">
        <v>1</v>
      </c>
      <c r="AA146" s="106"/>
      <c r="AB146" s="106"/>
      <c r="AC146" s="106"/>
      <c r="AD146" s="106"/>
      <c r="AE146" s="106"/>
      <c r="AF146" s="106"/>
      <c r="AG146" s="106"/>
      <c r="AH146" s="106"/>
    </row>
    <row r="147" spans="2:34" s="77" customFormat="1" ht="136" customHeight="1">
      <c r="B147" s="102">
        <f t="shared" si="3"/>
        <v>138</v>
      </c>
      <c r="C147" s="103" t="s">
        <v>635</v>
      </c>
      <c r="D147" s="104" t="s">
        <v>636</v>
      </c>
      <c r="E147" s="106"/>
      <c r="F147" s="106"/>
      <c r="G147" s="102" t="s">
        <v>771</v>
      </c>
      <c r="H147" s="102" t="s">
        <v>637</v>
      </c>
      <c r="I147" s="105" t="s">
        <v>638</v>
      </c>
      <c r="J147" s="102" t="s">
        <v>47</v>
      </c>
      <c r="K147" s="106"/>
      <c r="L147" s="113" t="s">
        <v>639</v>
      </c>
      <c r="M147" s="106"/>
      <c r="N147" s="106" t="s">
        <v>640</v>
      </c>
      <c r="O147" s="106"/>
      <c r="P147" s="102"/>
      <c r="Q147" s="106"/>
      <c r="R147" s="102"/>
      <c r="S147" s="106"/>
      <c r="T147" s="102">
        <v>1</v>
      </c>
      <c r="U147" s="102">
        <v>1</v>
      </c>
      <c r="V147" s="102">
        <v>1</v>
      </c>
      <c r="W147" s="102">
        <v>1</v>
      </c>
      <c r="X147" s="102">
        <v>1</v>
      </c>
      <c r="Y147" s="102">
        <v>1</v>
      </c>
      <c r="Z147" s="102">
        <v>1</v>
      </c>
      <c r="AA147" s="106"/>
      <c r="AB147" s="106"/>
      <c r="AC147" s="106"/>
      <c r="AD147" s="106"/>
      <c r="AE147" s="106"/>
      <c r="AF147" s="106"/>
      <c r="AG147" s="106"/>
      <c r="AH147" s="106"/>
    </row>
    <row r="148" spans="2:34" s="77" customFormat="1" ht="68" customHeight="1">
      <c r="B148" s="102">
        <f t="shared" si="3"/>
        <v>139</v>
      </c>
      <c r="C148" s="103" t="s">
        <v>641</v>
      </c>
      <c r="D148" s="104" t="s">
        <v>642</v>
      </c>
      <c r="E148" s="106"/>
      <c r="F148" s="106"/>
      <c r="G148" s="102" t="s">
        <v>771</v>
      </c>
      <c r="H148" s="102" t="s">
        <v>643</v>
      </c>
      <c r="I148" s="105" t="s">
        <v>644</v>
      </c>
      <c r="J148" s="102"/>
      <c r="K148" s="106"/>
      <c r="L148" s="114"/>
      <c r="M148" s="102"/>
      <c r="N148" s="106" t="s">
        <v>645</v>
      </c>
      <c r="O148" s="106"/>
      <c r="P148" s="102"/>
      <c r="Q148" s="106"/>
      <c r="R148" s="102"/>
      <c r="S148" s="106"/>
      <c r="T148" s="102">
        <v>1</v>
      </c>
      <c r="U148" s="102">
        <v>1</v>
      </c>
      <c r="V148" s="102">
        <v>1</v>
      </c>
      <c r="W148" s="102">
        <v>1</v>
      </c>
      <c r="X148" s="102">
        <v>1</v>
      </c>
      <c r="Y148" s="102">
        <v>1</v>
      </c>
      <c r="Z148" s="102">
        <v>1</v>
      </c>
      <c r="AA148" s="106"/>
      <c r="AB148" s="106"/>
      <c r="AC148" s="106"/>
      <c r="AD148" s="106"/>
      <c r="AE148" s="106"/>
      <c r="AF148" s="106"/>
      <c r="AG148" s="106"/>
      <c r="AH148" s="106"/>
    </row>
    <row r="149" spans="2:34" s="77" customFormat="1" ht="170" customHeight="1">
      <c r="B149" s="102">
        <f t="shared" si="3"/>
        <v>140</v>
      </c>
      <c r="C149" s="103" t="s">
        <v>646</v>
      </c>
      <c r="D149" s="104" t="s">
        <v>647</v>
      </c>
      <c r="E149" s="106"/>
      <c r="F149" s="106"/>
      <c r="G149" s="102" t="s">
        <v>771</v>
      </c>
      <c r="H149" s="102" t="s">
        <v>648</v>
      </c>
      <c r="I149" s="105" t="s">
        <v>649</v>
      </c>
      <c r="J149" s="102" t="s">
        <v>47</v>
      </c>
      <c r="K149" s="106"/>
      <c r="L149" s="113" t="s">
        <v>650</v>
      </c>
      <c r="M149" s="106"/>
      <c r="N149" s="106" t="s">
        <v>651</v>
      </c>
      <c r="O149" s="106"/>
      <c r="P149" s="102"/>
      <c r="Q149" s="106"/>
      <c r="R149" s="102"/>
      <c r="S149" s="106"/>
      <c r="T149" s="102">
        <v>1</v>
      </c>
      <c r="U149" s="102">
        <v>1</v>
      </c>
      <c r="V149" s="102">
        <v>1</v>
      </c>
      <c r="W149" s="102">
        <v>1</v>
      </c>
      <c r="X149" s="102">
        <v>1</v>
      </c>
      <c r="Y149" s="102">
        <v>1</v>
      </c>
      <c r="Z149" s="102">
        <v>1</v>
      </c>
      <c r="AA149" s="106"/>
      <c r="AB149" s="106"/>
      <c r="AC149" s="106"/>
      <c r="AD149" s="106"/>
      <c r="AE149" s="106"/>
      <c r="AF149" s="106"/>
      <c r="AG149" s="106"/>
      <c r="AH149" s="106"/>
    </row>
    <row r="150" spans="2:34" s="77" customFormat="1" ht="68" customHeight="1">
      <c r="B150" s="102">
        <f t="shared" si="3"/>
        <v>141</v>
      </c>
      <c r="C150" s="103" t="s">
        <v>652</v>
      </c>
      <c r="D150" s="104" t="s">
        <v>653</v>
      </c>
      <c r="E150" s="106"/>
      <c r="F150" s="106"/>
      <c r="G150" s="102" t="s">
        <v>771</v>
      </c>
      <c r="H150" s="102" t="s">
        <v>654</v>
      </c>
      <c r="I150" s="105" t="s">
        <v>655</v>
      </c>
      <c r="J150" s="102" t="s">
        <v>47</v>
      </c>
      <c r="K150" s="106"/>
      <c r="L150" s="113" t="s">
        <v>656</v>
      </c>
      <c r="M150" s="106"/>
      <c r="N150" s="106" t="s">
        <v>657</v>
      </c>
      <c r="O150" s="106"/>
      <c r="P150" s="102"/>
      <c r="Q150" s="106"/>
      <c r="R150" s="102"/>
      <c r="S150" s="106"/>
      <c r="T150" s="102">
        <v>0</v>
      </c>
      <c r="U150" s="102">
        <v>0</v>
      </c>
      <c r="V150" s="102">
        <v>1</v>
      </c>
      <c r="W150" s="102">
        <v>1</v>
      </c>
      <c r="X150" s="102">
        <v>1</v>
      </c>
      <c r="Y150" s="102">
        <v>1</v>
      </c>
      <c r="Z150" s="102">
        <v>1</v>
      </c>
      <c r="AA150" s="106"/>
      <c r="AB150" s="106"/>
      <c r="AC150" s="106"/>
      <c r="AD150" s="106"/>
      <c r="AE150" s="106"/>
      <c r="AF150" s="106"/>
      <c r="AG150" s="106"/>
      <c r="AH150" s="106"/>
    </row>
    <row r="151" spans="2:34" s="77" customFormat="1" ht="153" customHeight="1">
      <c r="B151" s="102">
        <f t="shared" si="3"/>
        <v>142</v>
      </c>
      <c r="C151" s="103" t="s">
        <v>658</v>
      </c>
      <c r="D151" s="104" t="s">
        <v>659</v>
      </c>
      <c r="E151" s="106"/>
      <c r="F151" s="106"/>
      <c r="G151" s="102" t="s">
        <v>771</v>
      </c>
      <c r="H151" s="102" t="s">
        <v>660</v>
      </c>
      <c r="I151" s="105" t="s">
        <v>661</v>
      </c>
      <c r="J151" s="102" t="s">
        <v>47</v>
      </c>
      <c r="K151" s="106"/>
      <c r="L151" s="113" t="s">
        <v>662</v>
      </c>
      <c r="M151" s="106"/>
      <c r="N151" s="106" t="s">
        <v>663</v>
      </c>
      <c r="O151" s="106"/>
      <c r="P151" s="102"/>
      <c r="Q151" s="106"/>
      <c r="R151" s="102"/>
      <c r="S151" s="106"/>
      <c r="T151" s="102">
        <v>1</v>
      </c>
      <c r="U151" s="102">
        <v>1</v>
      </c>
      <c r="V151" s="102">
        <v>1</v>
      </c>
      <c r="W151" s="102">
        <v>1</v>
      </c>
      <c r="X151" s="102">
        <v>1</v>
      </c>
      <c r="Y151" s="102">
        <v>1</v>
      </c>
      <c r="Z151" s="102">
        <v>1</v>
      </c>
      <c r="AA151" s="106"/>
      <c r="AB151" s="106"/>
      <c r="AC151" s="106"/>
      <c r="AD151" s="106"/>
      <c r="AE151" s="106"/>
      <c r="AF151" s="106"/>
      <c r="AG151" s="106"/>
      <c r="AH151" s="106"/>
    </row>
    <row r="152" spans="2:34" s="77" customFormat="1" ht="153" customHeight="1">
      <c r="B152" s="102">
        <f t="shared" si="3"/>
        <v>143</v>
      </c>
      <c r="C152" s="103" t="s">
        <v>664</v>
      </c>
      <c r="D152" s="104" t="s">
        <v>665</v>
      </c>
      <c r="E152" s="106"/>
      <c r="F152" s="106"/>
      <c r="G152" s="102" t="s">
        <v>771</v>
      </c>
      <c r="H152" s="102" t="s">
        <v>666</v>
      </c>
      <c r="I152" s="105" t="s">
        <v>661</v>
      </c>
      <c r="J152" s="102" t="s">
        <v>47</v>
      </c>
      <c r="K152" s="106"/>
      <c r="L152" s="113" t="s">
        <v>667</v>
      </c>
      <c r="M152" s="106"/>
      <c r="N152" s="106" t="s">
        <v>668</v>
      </c>
      <c r="O152" s="106"/>
      <c r="P152" s="102"/>
      <c r="Q152" s="106"/>
      <c r="R152" s="102"/>
      <c r="S152" s="106"/>
      <c r="T152" s="102">
        <v>1</v>
      </c>
      <c r="U152" s="102">
        <v>1</v>
      </c>
      <c r="V152" s="102">
        <v>1</v>
      </c>
      <c r="W152" s="102">
        <v>1</v>
      </c>
      <c r="X152" s="102">
        <v>1</v>
      </c>
      <c r="Y152" s="102">
        <v>1</v>
      </c>
      <c r="Z152" s="102">
        <v>1</v>
      </c>
      <c r="AA152" s="106"/>
      <c r="AB152" s="106"/>
      <c r="AC152" s="106"/>
      <c r="AD152" s="106"/>
      <c r="AE152" s="106"/>
      <c r="AF152" s="106"/>
      <c r="AG152" s="106"/>
      <c r="AH152" s="106"/>
    </row>
    <row r="153" spans="2:34" s="77" customFormat="1" ht="170" customHeight="1">
      <c r="B153" s="102">
        <f t="shared" si="3"/>
        <v>144</v>
      </c>
      <c r="C153" s="103" t="s">
        <v>669</v>
      </c>
      <c r="D153" s="104" t="s">
        <v>670</v>
      </c>
      <c r="E153" s="106"/>
      <c r="F153" s="106"/>
      <c r="G153" s="102" t="s">
        <v>771</v>
      </c>
      <c r="H153" s="102" t="s">
        <v>671</v>
      </c>
      <c r="I153" s="105" t="s">
        <v>672</v>
      </c>
      <c r="J153" s="102" t="s">
        <v>47</v>
      </c>
      <c r="K153" s="106"/>
      <c r="L153" s="114" t="s">
        <v>673</v>
      </c>
      <c r="M153" s="102"/>
      <c r="N153" s="106" t="s">
        <v>674</v>
      </c>
      <c r="O153" s="106"/>
      <c r="P153" s="102"/>
      <c r="Q153" s="106"/>
      <c r="R153" s="102"/>
      <c r="S153" s="106"/>
      <c r="T153" s="102">
        <v>1</v>
      </c>
      <c r="U153" s="102">
        <v>1</v>
      </c>
      <c r="V153" s="102">
        <v>1</v>
      </c>
      <c r="W153" s="102">
        <v>1</v>
      </c>
      <c r="X153" s="102">
        <v>1</v>
      </c>
      <c r="Y153" s="102">
        <v>1</v>
      </c>
      <c r="Z153" s="102">
        <v>1</v>
      </c>
      <c r="AA153" s="106"/>
      <c r="AB153" s="106"/>
      <c r="AC153" s="106"/>
      <c r="AD153" s="106"/>
      <c r="AE153" s="106"/>
      <c r="AF153" s="106"/>
      <c r="AG153" s="106"/>
      <c r="AH153" s="106"/>
    </row>
    <row r="154" spans="2:34" s="77" customFormat="1" ht="68" customHeight="1">
      <c r="B154" s="102">
        <f t="shared" si="3"/>
        <v>145</v>
      </c>
      <c r="C154" s="103" t="s">
        <v>675</v>
      </c>
      <c r="D154" s="104" t="s">
        <v>676</v>
      </c>
      <c r="E154" s="106"/>
      <c r="F154" s="106"/>
      <c r="G154" s="102" t="s">
        <v>771</v>
      </c>
      <c r="H154" s="102" t="s">
        <v>677</v>
      </c>
      <c r="I154" s="105" t="s">
        <v>678</v>
      </c>
      <c r="J154" s="102" t="s">
        <v>47</v>
      </c>
      <c r="K154" s="106"/>
      <c r="L154" s="113" t="s">
        <v>679</v>
      </c>
      <c r="M154" s="106"/>
      <c r="N154" s="106" t="s">
        <v>680</v>
      </c>
      <c r="O154" s="106"/>
      <c r="P154" s="102"/>
      <c r="Q154" s="106"/>
      <c r="R154" s="102"/>
      <c r="S154" s="106"/>
      <c r="T154" s="102">
        <v>1</v>
      </c>
      <c r="U154" s="102">
        <v>1</v>
      </c>
      <c r="V154" s="102">
        <v>1</v>
      </c>
      <c r="W154" s="102">
        <v>1</v>
      </c>
      <c r="X154" s="102">
        <v>1</v>
      </c>
      <c r="Y154" s="102">
        <v>1</v>
      </c>
      <c r="Z154" s="102">
        <v>1</v>
      </c>
      <c r="AA154" s="106"/>
      <c r="AB154" s="106"/>
      <c r="AC154" s="106"/>
      <c r="AD154" s="106"/>
      <c r="AE154" s="106"/>
      <c r="AF154" s="106"/>
      <c r="AG154" s="106"/>
      <c r="AH154" s="106"/>
    </row>
  </sheetData>
  <autoFilter ref="B9:AH154" xr:uid="{00000000-0001-0000-0500-000000000000}"/>
  <mergeCells count="4">
    <mergeCell ref="A1:AE1"/>
    <mergeCell ref="B7:AA7"/>
    <mergeCell ref="AB7:AH7"/>
    <mergeCell ref="T8:Z8"/>
  </mergeCells>
  <phoneticPr fontId="3" type="noConversion"/>
  <dataValidations count="3">
    <dataValidation type="list" allowBlank="1" showInputMessage="1" showErrorMessage="1" sqref="Q10:Q11 P10:P154" xr:uid="{00000000-0002-0000-0500-000000000000}">
      <formula1>"P0,P1,P2,P3"</formula1>
    </dataValidation>
    <dataValidation type="list" allowBlank="1" showInputMessage="1" showErrorMessage="1" sqref="T10:T21 T23:T24 U10:Z27 T26:T27 T28:Z154" xr:uid="{00000000-0002-0000-0500-000001000000}">
      <formula1>"0,1"</formula1>
    </dataValidation>
    <dataValidation type="list" allowBlank="1" showInputMessage="1" showErrorMessage="1" sqref="AF10:AF11" xr:uid="{00000000-0002-0000-0500-000002000000}">
      <formula1>"Pass, Fail, Pending,Block,NA"</formula1>
    </dataValidation>
  </dataValidations>
  <hyperlinks>
    <hyperlink ref="C10" r:id="rId1" xr:uid="{00000000-0004-0000-0500-000000000000}"/>
    <hyperlink ref="C11" r:id="rId2" xr:uid="{00000000-0004-0000-0500-000001000000}"/>
    <hyperlink ref="C12" r:id="rId3" xr:uid="{00000000-0004-0000-0500-000002000000}"/>
    <hyperlink ref="C13" r:id="rId4" xr:uid="{00000000-0004-0000-0500-000003000000}"/>
    <hyperlink ref="C14" r:id="rId5" xr:uid="{00000000-0004-0000-0500-000004000000}"/>
    <hyperlink ref="C15" r:id="rId6" xr:uid="{00000000-0004-0000-0500-000005000000}"/>
    <hyperlink ref="C16" r:id="rId7" xr:uid="{00000000-0004-0000-0500-000006000000}"/>
    <hyperlink ref="C17" r:id="rId8" xr:uid="{00000000-0004-0000-0500-000007000000}"/>
    <hyperlink ref="C18" r:id="rId9" xr:uid="{00000000-0004-0000-0500-000008000000}"/>
    <hyperlink ref="C19" r:id="rId10" xr:uid="{00000000-0004-0000-0500-000009000000}"/>
    <hyperlink ref="C20" r:id="rId11" xr:uid="{00000000-0004-0000-0500-00000A000000}"/>
    <hyperlink ref="C22" r:id="rId12" xr:uid="{00000000-0004-0000-0500-00000B000000}"/>
    <hyperlink ref="C23" r:id="rId13" xr:uid="{00000000-0004-0000-0500-00000C000000}"/>
    <hyperlink ref="C24" r:id="rId14" xr:uid="{00000000-0004-0000-0500-00000D000000}"/>
    <hyperlink ref="C26" r:id="rId15" xr:uid="{00000000-0004-0000-0500-00000E000000}"/>
    <hyperlink ref="C28" r:id="rId16" xr:uid="{00000000-0004-0000-0500-00000F000000}"/>
    <hyperlink ref="C29" r:id="rId17" xr:uid="{00000000-0004-0000-0500-000010000000}"/>
    <hyperlink ref="C30" r:id="rId18" xr:uid="{00000000-0004-0000-0500-000011000000}"/>
    <hyperlink ref="C32" r:id="rId19" xr:uid="{00000000-0004-0000-0500-000012000000}"/>
    <hyperlink ref="C34" r:id="rId20" xr:uid="{00000000-0004-0000-0500-000013000000}"/>
    <hyperlink ref="C35" r:id="rId21" xr:uid="{00000000-0004-0000-0500-000014000000}"/>
    <hyperlink ref="C36" r:id="rId22" xr:uid="{00000000-0004-0000-0500-000015000000}"/>
    <hyperlink ref="C37" r:id="rId23" xr:uid="{00000000-0004-0000-0500-000016000000}"/>
    <hyperlink ref="C38" r:id="rId24" xr:uid="{00000000-0004-0000-0500-000017000000}"/>
    <hyperlink ref="C39" r:id="rId25" xr:uid="{00000000-0004-0000-0500-000018000000}"/>
    <hyperlink ref="C40" r:id="rId26" xr:uid="{00000000-0004-0000-0500-000019000000}"/>
    <hyperlink ref="C41" r:id="rId27" xr:uid="{00000000-0004-0000-0500-00001A000000}"/>
    <hyperlink ref="C42" r:id="rId28" xr:uid="{00000000-0004-0000-0500-00001B000000}"/>
    <hyperlink ref="C43" r:id="rId29" xr:uid="{00000000-0004-0000-0500-00001C000000}"/>
    <hyperlink ref="C44" r:id="rId30" xr:uid="{00000000-0004-0000-0500-00001D000000}"/>
    <hyperlink ref="C45" r:id="rId31" xr:uid="{00000000-0004-0000-0500-00001E000000}"/>
    <hyperlink ref="C46" r:id="rId32" xr:uid="{00000000-0004-0000-0500-00001F000000}"/>
    <hyperlink ref="C47" r:id="rId33" xr:uid="{00000000-0004-0000-0500-000020000000}"/>
    <hyperlink ref="C48" r:id="rId34" xr:uid="{00000000-0004-0000-0500-000021000000}"/>
    <hyperlink ref="C49" r:id="rId35" xr:uid="{00000000-0004-0000-0500-000022000000}"/>
    <hyperlink ref="C50" r:id="rId36" xr:uid="{00000000-0004-0000-0500-000023000000}"/>
    <hyperlink ref="C51" r:id="rId37" xr:uid="{00000000-0004-0000-0500-000024000000}"/>
    <hyperlink ref="C52" r:id="rId38" xr:uid="{00000000-0004-0000-0500-000025000000}"/>
    <hyperlink ref="C53" r:id="rId39" xr:uid="{00000000-0004-0000-0500-000026000000}"/>
    <hyperlink ref="C54" r:id="rId40" xr:uid="{00000000-0004-0000-0500-000027000000}"/>
    <hyperlink ref="C55" r:id="rId41" xr:uid="{00000000-0004-0000-0500-000028000000}"/>
    <hyperlink ref="C56" r:id="rId42" xr:uid="{00000000-0004-0000-0500-000029000000}"/>
    <hyperlink ref="C57" r:id="rId43" xr:uid="{00000000-0004-0000-0500-00002A000000}"/>
    <hyperlink ref="C58" r:id="rId44" xr:uid="{00000000-0004-0000-0500-00002B000000}"/>
    <hyperlink ref="C59" r:id="rId45" xr:uid="{00000000-0004-0000-0500-00002C000000}"/>
    <hyperlink ref="C60" r:id="rId46" xr:uid="{00000000-0004-0000-0500-00002D000000}"/>
    <hyperlink ref="C61" r:id="rId47" xr:uid="{00000000-0004-0000-0500-00002E000000}"/>
    <hyperlink ref="C62" r:id="rId48" xr:uid="{00000000-0004-0000-0500-00002F000000}"/>
    <hyperlink ref="C63" r:id="rId49" xr:uid="{00000000-0004-0000-0500-000030000000}"/>
    <hyperlink ref="C64" r:id="rId50" xr:uid="{00000000-0004-0000-0500-000031000000}"/>
    <hyperlink ref="C65" r:id="rId51" xr:uid="{00000000-0004-0000-0500-000032000000}"/>
    <hyperlink ref="C66" r:id="rId52" xr:uid="{00000000-0004-0000-0500-000033000000}"/>
    <hyperlink ref="C67" r:id="rId53" xr:uid="{00000000-0004-0000-0500-000034000000}"/>
    <hyperlink ref="C68" r:id="rId54" xr:uid="{00000000-0004-0000-0500-000035000000}"/>
    <hyperlink ref="C69" r:id="rId55" xr:uid="{00000000-0004-0000-0500-000036000000}"/>
    <hyperlink ref="C70" r:id="rId56" xr:uid="{00000000-0004-0000-0500-000037000000}"/>
    <hyperlink ref="C71" r:id="rId57" xr:uid="{00000000-0004-0000-0500-000038000000}"/>
    <hyperlink ref="C72" r:id="rId58" xr:uid="{00000000-0004-0000-0500-000039000000}"/>
    <hyperlink ref="C73" r:id="rId59" xr:uid="{00000000-0004-0000-0500-00003A000000}"/>
    <hyperlink ref="C74" r:id="rId60" xr:uid="{00000000-0004-0000-0500-00003B000000}"/>
    <hyperlink ref="C75" r:id="rId61" xr:uid="{00000000-0004-0000-0500-00003C000000}"/>
    <hyperlink ref="C76" r:id="rId62" xr:uid="{00000000-0004-0000-0500-00003D000000}"/>
    <hyperlink ref="C77" r:id="rId63" xr:uid="{00000000-0004-0000-0500-00003E000000}"/>
    <hyperlink ref="C79" r:id="rId64" xr:uid="{00000000-0004-0000-0500-00003F000000}"/>
    <hyperlink ref="C81" r:id="rId65" xr:uid="{00000000-0004-0000-0500-000040000000}"/>
    <hyperlink ref="C82" r:id="rId66" xr:uid="{00000000-0004-0000-0500-000041000000}"/>
    <hyperlink ref="C83" r:id="rId67" xr:uid="{00000000-0004-0000-0500-000042000000}"/>
    <hyperlink ref="C84" r:id="rId68" xr:uid="{00000000-0004-0000-0500-000043000000}"/>
    <hyperlink ref="C86" r:id="rId69" xr:uid="{00000000-0004-0000-0500-000044000000}"/>
    <hyperlink ref="C92" r:id="rId70" xr:uid="{00000000-0004-0000-0500-000045000000}"/>
    <hyperlink ref="C93" r:id="rId71" xr:uid="{00000000-0004-0000-0500-000046000000}"/>
    <hyperlink ref="C94" r:id="rId72" xr:uid="{00000000-0004-0000-0500-000047000000}"/>
    <hyperlink ref="C95" r:id="rId73" xr:uid="{00000000-0004-0000-0500-000048000000}"/>
    <hyperlink ref="C96" r:id="rId74" xr:uid="{00000000-0004-0000-0500-000049000000}"/>
    <hyperlink ref="C97" r:id="rId75" xr:uid="{00000000-0004-0000-0500-00004A000000}"/>
    <hyperlink ref="C98" r:id="rId76" xr:uid="{00000000-0004-0000-0500-00004B000000}"/>
    <hyperlink ref="C99" r:id="rId77" xr:uid="{00000000-0004-0000-0500-00004C000000}"/>
    <hyperlink ref="C100" r:id="rId78" xr:uid="{00000000-0004-0000-0500-00004D000000}"/>
    <hyperlink ref="C101" r:id="rId79" xr:uid="{00000000-0004-0000-0500-00004E000000}"/>
    <hyperlink ref="C102" r:id="rId80" xr:uid="{00000000-0004-0000-0500-00004F000000}"/>
    <hyperlink ref="C103" r:id="rId81" xr:uid="{00000000-0004-0000-0500-000050000000}"/>
    <hyperlink ref="C104" r:id="rId82" xr:uid="{00000000-0004-0000-0500-000051000000}"/>
    <hyperlink ref="C105" r:id="rId83" xr:uid="{00000000-0004-0000-0500-000052000000}"/>
    <hyperlink ref="C106" r:id="rId84" xr:uid="{00000000-0004-0000-0500-000053000000}"/>
    <hyperlink ref="C107" r:id="rId85" xr:uid="{00000000-0004-0000-0500-000054000000}"/>
    <hyperlink ref="C108" r:id="rId86" xr:uid="{00000000-0004-0000-0500-000055000000}"/>
    <hyperlink ref="C109" r:id="rId87" xr:uid="{00000000-0004-0000-0500-000056000000}"/>
    <hyperlink ref="C110" r:id="rId88" xr:uid="{00000000-0004-0000-0500-000057000000}"/>
    <hyperlink ref="C111" r:id="rId89" xr:uid="{00000000-0004-0000-0500-000058000000}"/>
    <hyperlink ref="C112" r:id="rId90" xr:uid="{00000000-0004-0000-0500-000059000000}"/>
    <hyperlink ref="C113" r:id="rId91" xr:uid="{00000000-0004-0000-0500-00005A000000}"/>
    <hyperlink ref="C114" r:id="rId92" xr:uid="{00000000-0004-0000-0500-00005B000000}"/>
    <hyperlink ref="C115" r:id="rId93" xr:uid="{00000000-0004-0000-0500-00005C000000}"/>
    <hyperlink ref="C116" r:id="rId94" xr:uid="{00000000-0004-0000-0500-00005D000000}"/>
    <hyperlink ref="C117" r:id="rId95" xr:uid="{00000000-0004-0000-0500-00005E000000}"/>
    <hyperlink ref="C118" r:id="rId96" xr:uid="{00000000-0004-0000-0500-00005F000000}"/>
    <hyperlink ref="C119" r:id="rId97" xr:uid="{00000000-0004-0000-0500-000060000000}"/>
    <hyperlink ref="C120" r:id="rId98" xr:uid="{00000000-0004-0000-0500-000061000000}"/>
    <hyperlink ref="C121" r:id="rId99" xr:uid="{00000000-0004-0000-0500-000062000000}"/>
    <hyperlink ref="C122" r:id="rId100" xr:uid="{00000000-0004-0000-0500-000063000000}"/>
    <hyperlink ref="C123" r:id="rId101" xr:uid="{00000000-0004-0000-0500-000064000000}"/>
    <hyperlink ref="C124" r:id="rId102" xr:uid="{00000000-0004-0000-0500-000065000000}"/>
    <hyperlink ref="C125" r:id="rId103" xr:uid="{00000000-0004-0000-0500-000066000000}"/>
    <hyperlink ref="C126" r:id="rId104" xr:uid="{00000000-0004-0000-0500-000067000000}"/>
    <hyperlink ref="C128" r:id="rId105" xr:uid="{00000000-0004-0000-0500-000068000000}"/>
    <hyperlink ref="C130" r:id="rId106" xr:uid="{00000000-0004-0000-0500-000069000000}"/>
    <hyperlink ref="C131" r:id="rId107" xr:uid="{00000000-0004-0000-0500-00006A000000}"/>
    <hyperlink ref="C132" r:id="rId108" xr:uid="{00000000-0004-0000-0500-00006B000000}"/>
    <hyperlink ref="C133" r:id="rId109" xr:uid="{00000000-0004-0000-0500-00006C000000}"/>
    <hyperlink ref="C134" r:id="rId110" xr:uid="{00000000-0004-0000-0500-00006D000000}"/>
    <hyperlink ref="C135" r:id="rId111" xr:uid="{00000000-0004-0000-0500-00006E000000}"/>
    <hyperlink ref="C136" r:id="rId112" xr:uid="{00000000-0004-0000-0500-00006F000000}"/>
    <hyperlink ref="C137" r:id="rId113" xr:uid="{00000000-0004-0000-0500-000070000000}"/>
    <hyperlink ref="C138" r:id="rId114" xr:uid="{00000000-0004-0000-0500-000071000000}"/>
    <hyperlink ref="C139" r:id="rId115" xr:uid="{00000000-0004-0000-0500-000072000000}"/>
    <hyperlink ref="C140" r:id="rId116" xr:uid="{00000000-0004-0000-0500-000073000000}"/>
    <hyperlink ref="C141" r:id="rId117" xr:uid="{00000000-0004-0000-0500-000074000000}"/>
    <hyperlink ref="C142" r:id="rId118" xr:uid="{00000000-0004-0000-0500-000075000000}"/>
    <hyperlink ref="C143" r:id="rId119" xr:uid="{00000000-0004-0000-0500-000076000000}"/>
    <hyperlink ref="C144" r:id="rId120" xr:uid="{00000000-0004-0000-0500-000077000000}"/>
    <hyperlink ref="C145" r:id="rId121" xr:uid="{00000000-0004-0000-0500-000078000000}"/>
    <hyperlink ref="C146" r:id="rId122" xr:uid="{00000000-0004-0000-0500-000079000000}"/>
    <hyperlink ref="C147" r:id="rId123" xr:uid="{00000000-0004-0000-0500-00007A000000}"/>
    <hyperlink ref="C148" r:id="rId124" xr:uid="{00000000-0004-0000-0500-00007B000000}"/>
    <hyperlink ref="C149" r:id="rId125" xr:uid="{00000000-0004-0000-0500-00007C000000}"/>
    <hyperlink ref="C150" r:id="rId126" xr:uid="{00000000-0004-0000-0500-00007D000000}"/>
    <hyperlink ref="C151" r:id="rId127" xr:uid="{00000000-0004-0000-0500-00007E000000}"/>
    <hyperlink ref="C152" r:id="rId128" xr:uid="{00000000-0004-0000-0500-00007F000000}"/>
    <hyperlink ref="C153" r:id="rId129" xr:uid="{00000000-0004-0000-0500-000080000000}"/>
    <hyperlink ref="C154" r:id="rId130" xr:uid="{00000000-0004-0000-0500-000081000000}"/>
    <hyperlink ref="C21" r:id="rId131" xr:uid="{EFBC70D4-BEDC-6E4E-9C7B-F4C5AF6AF1C2}"/>
    <hyperlink ref="C25" r:id="rId132" xr:uid="{AA18FEB2-E265-3E4A-83F8-01762DF8AB27}"/>
    <hyperlink ref="C27" r:id="rId133" xr:uid="{15198228-370E-8F46-ACC2-004882F7C752}"/>
    <hyperlink ref="C31" r:id="rId134" xr:uid="{6FC45180-5422-3647-B4BC-72D7DC1DB17A}"/>
    <hyperlink ref="C33" r:id="rId135" xr:uid="{32382F84-9B45-BB4A-8158-59E76580F825}"/>
    <hyperlink ref="C78" r:id="rId136" xr:uid="{E9B1F105-AF50-264F-817E-FF18E31EDEEC}"/>
    <hyperlink ref="C80" r:id="rId137" xr:uid="{544C1DC5-ED15-BD4F-B62C-F11CC6680AEA}"/>
    <hyperlink ref="C85" r:id="rId138" xr:uid="{7D64C14F-4E15-8847-BECD-FCE26E78E903}"/>
    <hyperlink ref="C90" r:id="rId139" xr:uid="{EBD09DE5-0A66-C94B-9C92-6EB81D690C75}"/>
    <hyperlink ref="C89" r:id="rId140" xr:uid="{4CFB7A01-9392-8847-AD3E-0337DAC624D1}"/>
    <hyperlink ref="C88" r:id="rId141" xr:uid="{E1FECB64-BD5B-D041-A78F-1723F1F488B8}"/>
    <hyperlink ref="C87" r:id="rId142" xr:uid="{59879E12-3E7A-1446-9200-ACE45A9E1380}"/>
    <hyperlink ref="C91" r:id="rId143" xr:uid="{FD0FADDA-6408-774F-BB54-7F8C8EE58093}"/>
    <hyperlink ref="C127" r:id="rId144" xr:uid="{DB3020F6-0F99-C54A-9CBE-054E5D1FBFD4}"/>
    <hyperlink ref="C129" r:id="rId145" xr:uid="{F85CE4C7-BD2D-FC46-BE7A-3C35996193B2}"/>
  </hyperlinks>
  <pageMargins left="0.7" right="0.7" top="0.75" bottom="0.75" header="0.3" footer="0.3"/>
  <drawing r:id="rId146"/>
  <legacyDrawing r:id="rId147"/>
  <extLst>
    <ext xmlns:x14="http://schemas.microsoft.com/office/spreadsheetml/2009/9/main" uri="{CCE6A557-97BC-4b89-ADB6-D9C93CAAB3DF}">
      <x14:dataValidations xmlns:xm="http://schemas.microsoft.com/office/excel/2006/main" count="1">
        <x14:dataValidation type="list" allowBlank="1" showInputMessage="1" showErrorMessage="1" xr:uid="{3D957886-354E-B841-B3D7-0C0229912D5F}">
          <x14:formula1>
            <xm:f>Reference!$C$4:$C$12</xm:f>
          </x14:formula1>
          <xm:sqref>R10:R154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9" sqref="E19"/>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6" width="8.83203125" style="22" customWidth="1"/>
    <col min="7" max="16384" width="8.83203125" style="22"/>
  </cols>
  <sheetData>
    <row r="3" spans="2:6" s="21" customFormat="1" ht="16" customHeight="1">
      <c r="B3" s="21" t="s">
        <v>733</v>
      </c>
      <c r="C3" s="39" t="s">
        <v>734</v>
      </c>
    </row>
    <row r="4" spans="2:6" s="21" customFormat="1" ht="17" customHeight="1">
      <c r="B4" s="21">
        <v>1</v>
      </c>
      <c r="C4" s="30" t="s">
        <v>735</v>
      </c>
    </row>
    <row r="5" spans="2:6">
      <c r="B5" s="21">
        <v>2</v>
      </c>
      <c r="C5" s="24" t="s">
        <v>736</v>
      </c>
      <c r="D5" s="24" t="s">
        <v>737</v>
      </c>
      <c r="E5" s="23" t="s">
        <v>738</v>
      </c>
    </row>
    <row r="6" spans="2:6">
      <c r="B6" s="21">
        <v>3</v>
      </c>
      <c r="C6" s="23" t="s">
        <v>739</v>
      </c>
      <c r="D6" s="22" t="s">
        <v>740</v>
      </c>
    </row>
    <row r="7" spans="2:6" ht="17" customHeight="1">
      <c r="B7" s="21">
        <v>4</v>
      </c>
      <c r="C7" s="23" t="s">
        <v>741</v>
      </c>
      <c r="D7" s="22" t="s">
        <v>742</v>
      </c>
      <c r="E7" s="23" t="s">
        <v>743</v>
      </c>
    </row>
    <row r="8" spans="2:6">
      <c r="B8" s="21">
        <v>5</v>
      </c>
      <c r="C8" s="23" t="s">
        <v>744</v>
      </c>
      <c r="D8" s="28" t="s">
        <v>745</v>
      </c>
      <c r="E8" s="23" t="s">
        <v>746</v>
      </c>
    </row>
    <row r="9" spans="2:6">
      <c r="B9" s="21">
        <v>6</v>
      </c>
      <c r="C9" s="23" t="s">
        <v>747</v>
      </c>
      <c r="D9" s="23" t="s">
        <v>748</v>
      </c>
      <c r="E9" s="29" t="s">
        <v>749</v>
      </c>
    </row>
    <row r="10" spans="2:6">
      <c r="B10" s="21">
        <v>7</v>
      </c>
      <c r="C10" s="23" t="s">
        <v>750</v>
      </c>
      <c r="D10" s="28" t="s">
        <v>751</v>
      </c>
      <c r="E10" s="23" t="s">
        <v>752</v>
      </c>
      <c r="F10" s="25"/>
    </row>
    <row r="11" spans="2:6">
      <c r="B11" s="21">
        <v>8</v>
      </c>
      <c r="C11" s="23" t="s">
        <v>753</v>
      </c>
      <c r="D11" s="28" t="s">
        <v>754</v>
      </c>
    </row>
    <row r="12" spans="2:6">
      <c r="B12" s="21">
        <v>9</v>
      </c>
      <c r="C12" s="23" t="s">
        <v>755</v>
      </c>
      <c r="D12" s="23" t="s">
        <v>756</v>
      </c>
    </row>
    <row r="13" spans="2:6">
      <c r="B13" s="21"/>
      <c r="C13" s="23"/>
      <c r="D13" s="28"/>
    </row>
    <row r="14" spans="2:6">
      <c r="B14" s="21"/>
      <c r="C14" s="23"/>
    </row>
    <row r="16" spans="2:6">
      <c r="D16" s="23"/>
    </row>
    <row r="19" spans="3:3">
      <c r="C19" s="26" t="s">
        <v>757</v>
      </c>
    </row>
    <row r="20" spans="3:3">
      <c r="C20" s="27" t="s">
        <v>758</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3" width="9" style="38" customWidth="1"/>
    <col min="4" max="16384" width="9" style="38"/>
  </cols>
  <sheetData>
    <row r="1" spans="1:2">
      <c r="A1" s="174" t="s">
        <v>759</v>
      </c>
      <c r="B1" s="174"/>
    </row>
    <row r="2" spans="1:2">
      <c r="A2" s="37">
        <v>1</v>
      </c>
      <c r="B2" s="38" t="s">
        <v>760</v>
      </c>
    </row>
    <row r="3" spans="1:2">
      <c r="A3" s="37">
        <v>2</v>
      </c>
      <c r="B3" s="38" t="s">
        <v>761</v>
      </c>
    </row>
    <row r="4" spans="1:2">
      <c r="A4" s="37">
        <v>3</v>
      </c>
      <c r="B4" s="38" t="s">
        <v>762</v>
      </c>
    </row>
    <row r="5" spans="1:2">
      <c r="A5" s="37">
        <v>4</v>
      </c>
      <c r="B5" s="38" t="s">
        <v>763</v>
      </c>
    </row>
    <row r="6" spans="1:2">
      <c r="A6" s="37">
        <v>5</v>
      </c>
      <c r="B6" s="38" t="s">
        <v>764</v>
      </c>
    </row>
    <row r="7" spans="1:2">
      <c r="A7" s="37">
        <v>6</v>
      </c>
      <c r="B7" s="38" t="s">
        <v>765</v>
      </c>
    </row>
    <row r="8" spans="1:2">
      <c r="A8" s="37">
        <v>7</v>
      </c>
      <c r="B8" s="38" t="s">
        <v>766</v>
      </c>
    </row>
    <row r="9" spans="1:2">
      <c r="A9" s="37">
        <v>8</v>
      </c>
      <c r="B9" s="38" t="s">
        <v>767</v>
      </c>
    </row>
    <row r="10" spans="1:2">
      <c r="A10" s="37">
        <v>9</v>
      </c>
      <c r="B10" s="38" t="s">
        <v>768</v>
      </c>
    </row>
  </sheetData>
  <mergeCells count="1">
    <mergeCell ref="A1:B1"/>
  </mergeCells>
  <phoneticPr fontId="3" type="noConversion"/>
  <pageMargins left="0.7" right="0.7" top="0.75" bottom="0.75" header="0.3" footer="0.3"/>
  <pageSetup paperSize="9"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1"/>
  <sheetViews>
    <sheetView workbookViewId="0">
      <selection activeCell="J11" sqref="J11"/>
    </sheetView>
  </sheetViews>
  <sheetFormatPr baseColWidth="10" defaultColWidth="8.83203125" defaultRowHeight="15"/>
  <sheetData>
    <row r="1" spans="1:1" ht="17" customHeight="1">
      <c r="A1" s="31" t="s">
        <v>735</v>
      </c>
    </row>
    <row r="2" spans="1:1" ht="17" customHeight="1">
      <c r="A2" s="32" t="s">
        <v>736</v>
      </c>
    </row>
    <row r="3" spans="1:1" ht="17" customHeight="1">
      <c r="A3" s="32" t="s">
        <v>739</v>
      </c>
    </row>
    <row r="4" spans="1:1" ht="17" customHeight="1">
      <c r="A4" s="32" t="s">
        <v>741</v>
      </c>
    </row>
    <row r="5" spans="1:1" ht="17" customHeight="1">
      <c r="A5" s="32" t="s">
        <v>744</v>
      </c>
    </row>
    <row r="6" spans="1:1" ht="17" customHeight="1">
      <c r="A6" s="32" t="s">
        <v>769</v>
      </c>
    </row>
    <row r="7" spans="1:1" ht="17" customHeight="1">
      <c r="A7" s="32" t="s">
        <v>750</v>
      </c>
    </row>
    <row r="8" spans="1:1" ht="17" customHeight="1">
      <c r="A8" s="32" t="s">
        <v>753</v>
      </c>
    </row>
    <row r="9" spans="1:1" ht="17" customHeight="1">
      <c r="A9" s="32" t="s">
        <v>755</v>
      </c>
    </row>
    <row r="10" spans="1:1" ht="16" customHeight="1">
      <c r="A10" s="20"/>
    </row>
    <row r="11" spans="1:1" ht="16" customHeight="1">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PeiPYHsu(許珮瑜)</cp:lastModifiedBy>
  <dcterms:created xsi:type="dcterms:W3CDTF">2020-01-02T13:24:14Z</dcterms:created>
  <dcterms:modified xsi:type="dcterms:W3CDTF">2026-06-04T10:04:13Z</dcterms:modified>
</cp:coreProperties>
</file>