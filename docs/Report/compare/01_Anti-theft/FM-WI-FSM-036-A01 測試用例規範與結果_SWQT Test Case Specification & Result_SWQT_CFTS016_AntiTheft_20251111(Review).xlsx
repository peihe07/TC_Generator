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codeName="ThisWorkbook"/>
  <xr:revisionPtr revIDLastSave="0" documentId="13_ncr:1_{78BD8CD0-D4D6-4DD5-B9B1-D99BAE03BA95}" xr6:coauthVersionLast="47" xr6:coauthVersionMax="47" xr10:uidLastSave="{00000000-0000-0000-0000-000000000000}"/>
  <bookViews>
    <workbookView xWindow="-108" yWindow="-108" windowWidth="23256" windowHeight="12456"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amp;Result" sheetId="46" r:id="rId6"/>
    <sheet name="Reference" sheetId="47" state="hidden" r:id="rId7"/>
    <sheet name="QS Suggestion" sheetId="48" state="hidden" r:id="rId8"/>
    <sheet name="下拉選單" sheetId="44" state="hidden" r:id="rId9"/>
  </sheets>
  <definedNames>
    <definedName name="_xlnm._FilterDatabase" localSheetId="5" hidden="1">'Test Case Specification&amp;Result'!$B$9:$AG$9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8" i="46" l="1"/>
  <c r="B29" i="46"/>
  <c r="B26" i="46"/>
  <c r="B24" i="46"/>
  <c r="B22" i="46"/>
  <c r="B12" i="46"/>
  <c r="B18" i="46"/>
  <c r="B20" i="46"/>
  <c r="B21" i="46"/>
  <c r="B23" i="46"/>
  <c r="B25" i="46"/>
  <c r="B27"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indexed="81"/>
            <rFont val="Tahoma"/>
            <family val="2"/>
          </rPr>
          <t>作者:</t>
        </r>
        <r>
          <rPr>
            <sz val="9"/>
            <color indexed="81"/>
            <rFont val="Tahoma"/>
            <family val="2"/>
          </rPr>
          <t xml:space="preserve">
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作者:</t>
        </r>
        <r>
          <rPr>
            <sz val="9"/>
            <color indexed="81"/>
            <rFont val="Tahoma"/>
            <family val="2"/>
          </rPr>
          <t xml:space="preserve">
Derived From Melco's Test Case</t>
        </r>
      </text>
    </comment>
    <comment ref="I12" authorId="0" shapeId="0" xr:uid="{366F5FCD-6C68-4012-B99C-FD54DAF8677F}">
      <text>
        <r>
          <rPr>
            <sz val="12"/>
            <color rgb="FF000000"/>
            <rFont val="新細明體"/>
            <family val="1"/>
            <charset val="136"/>
          </rPr>
          <t xml:space="preserve">Please refer to 
</t>
        </r>
        <r>
          <rPr>
            <sz val="12"/>
            <color rgb="FF000000"/>
            <rFont val="新細明體"/>
            <family val="1"/>
            <charset val="136"/>
          </rPr>
          <t xml:space="preserve">https://docs.google.com/spreadsheets/d/1TI_z7NV2PIAYJTykIEAaojwuJlt-RVwCBHb3TEHpkcw/edit?gid=568663557#gid=568663557&amp;range=Q60
</t>
        </r>
        <r>
          <rPr>
            <sz val="12"/>
            <color rgb="FF000000"/>
            <rFont val="新細明體"/>
            <family val="1"/>
            <charset val="136"/>
          </rPr>
          <t>======</t>
        </r>
      </text>
    </comment>
  </commentList>
</comments>
</file>

<file path=xl/sharedStrings.xml><?xml version="1.0" encoding="utf-8"?>
<sst xmlns="http://schemas.openxmlformats.org/spreadsheetml/2006/main" count="917" uniqueCount="534">
  <si>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</si>
  <si>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</si>
  <si>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</si>
  <si>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</si>
  <si>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</si>
  <si>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</si>
  <si>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</si>
  <si>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</si>
  <si>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</si>
  <si>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</si>
  <si>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</si>
  <si>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</si>
  <si>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</si>
  <si>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</si>
  <si>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</si>
  <si>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</si>
  <si>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</si>
  <si>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</si>
  <si>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</si>
  <si>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</si>
  <si>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</si>
  <si>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</si>
  <si>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</si>
  <si>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</si>
  <si>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</si>
  <si>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</si>
  <si>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AntiTheft</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</si>
  <si>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</si>
  <si>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</si>
  <si>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</si>
  <si>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</si>
  <si>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</si>
  <si>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</si>
  <si>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</si>
  <si>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</si>
  <si>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</si>
  <si>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</si>
  <si>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</si>
  <si>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</si>
  <si>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</si>
  <si>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</si>
  <si>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</si>
  <si>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</si>
  <si>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</si>
  <si>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t>newR1L-AntiTheft-001</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</si>
  <si>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</si>
  <si>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</si>
  <si>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</si>
  <si>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</si>
  <si>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</si>
  <si>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</si>
  <si>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</si>
  <si>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</si>
  <si>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</si>
  <si>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</si>
  <si>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</si>
  <si>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</si>
  <si>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</si>
  <si>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</si>
  <si>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</si>
  <si>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</si>
  <si>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</si>
  <si>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</si>
  <si>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</si>
  <si>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</si>
  <si>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</si>
  <si>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</si>
  <si>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</si>
  <si>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</si>
  <si>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</si>
  <si>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</si>
  <si>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</si>
  <si>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</si>
  <si>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</si>
  <si>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</si>
  <si>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</si>
  <si>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</si>
  <si>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</si>
  <si>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</si>
  <si>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</si>
  <si>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</si>
  <si>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</si>
  <si>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張愷霏
</t>
    </r>
    <r>
      <rPr>
        <sz val="11"/>
        <color theme="1"/>
        <rFont val="Times New Roman"/>
        <family val="1"/>
      </rPr>
      <t>ErinKF Chang</t>
    </r>
    <phoneticPr fontId="4"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</si>
  <si>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</si>
  <si>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</si>
  <si>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</si>
  <si>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</si>
  <si>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</si>
  <si>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</si>
  <si>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t>A</t>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</si>
  <si>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</si>
  <si>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</si>
  <si>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</si>
  <si>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</si>
  <si>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</si>
  <si>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</si>
  <si>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</si>
  <si>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Vehicle Model </t>
    </r>
    <r>
      <rPr>
        <sz val="10"/>
        <color rgb="FF0070C0"/>
        <rFont val="新細明體"/>
        <family val="1"/>
        <charset val="136"/>
      </rPr>
      <t>車型</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</si>
  <si>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</si>
  <si>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</si>
  <si>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</si>
  <si>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</si>
  <si>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</si>
  <si>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</si>
  <si>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</si>
  <si>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</si>
  <si>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</si>
  <si>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</si>
  <si>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</si>
  <si>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</si>
  <si>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</si>
  <si>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</si>
  <si>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</si>
  <si>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</si>
  <si>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</si>
  <si>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</si>
  <si>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</si>
  <si>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</si>
  <si>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</si>
  <si>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</si>
  <si>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</si>
  <si>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</si>
  <si>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</si>
  <si>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</si>
  <si>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</si>
  <si>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t>NEWR1L-SWRA-PSCFTS016-001-01</t>
    <phoneticPr fontId="4" type="noConversion"/>
  </si>
  <si>
    <t>NEWR1L-SWRA-PSCFTS016-001-02</t>
  </si>
  <si>
    <t>NEWR1L-SWRA-PSCFTS016-001-03</t>
  </si>
  <si>
    <t>NEWR1L-SWRA-PSCFTS016-001-04</t>
  </si>
  <si>
    <t>NEWR1L-SWRA-PSCFTS016-001-05</t>
  </si>
  <si>
    <t>NEWR1L-SWRA-PSCFTS016-001-06</t>
  </si>
  <si>
    <t>NEWR1L-SWRA-PSCFTS016-001-07</t>
  </si>
  <si>
    <t>NEWR1L-SWRA-PSCFTS016-001-08</t>
  </si>
  <si>
    <t>NEWR1L-SWRA-PSCFTS016-002 -01</t>
  </si>
  <si>
    <t>NEWR1L-SWRA-PSCFTS016-002 -02</t>
  </si>
  <si>
    <t>NEWR1L-SWRA-PSCFTS016-002 -03</t>
  </si>
  <si>
    <t>NEWR1L-SWRA-PSCFTS016-002 -04</t>
  </si>
  <si>
    <t>NEWR1L-SWRA-PSCFTS016-003-01</t>
  </si>
  <si>
    <t>NEWR1L-SWRA-PSCFTS016-003-02</t>
  </si>
  <si>
    <t>NEWR1L-PSCFTS016-SWRA-004-01</t>
  </si>
  <si>
    <t>NEWR1L-PSCFTS016-SWRA-004-02</t>
  </si>
  <si>
    <t>NEWR1L-SWRA-PSCFTS016-005-01</t>
  </si>
  <si>
    <t>NEWR1L-SWRA-PSCFTS016-005-02</t>
  </si>
  <si>
    <t>NEWR1L-SWRA-PSCFTS016-005-03</t>
  </si>
  <si>
    <t>NEWR1L-SWRA-PSCFTS016-005-04</t>
  </si>
  <si>
    <t>NEWR1L-SWRA-PSCFTS016-006-01</t>
  </si>
  <si>
    <t>NEWR1L-SWRA-PSCFTS016-006-02</t>
  </si>
  <si>
    <t>NEWR1L-SWRA-PSCFTS016-006-03</t>
  </si>
  <si>
    <t>NEWR1L-SWRA-PSCFTS016-007-01</t>
  </si>
  <si>
    <t>NEWR1L-SWRA-PSCFTS016-007-02</t>
  </si>
  <si>
    <t>NEWR1L-SWRA-PSCFTS016-007-03</t>
  </si>
  <si>
    <t>NEWR1L-SWRA-PSCFTS016-007-04</t>
  </si>
  <si>
    <t>NEWR1L-SWRA-PSCFTS016-007-05</t>
  </si>
  <si>
    <t>NEWR1L-SWRA-PSCFTS016-007-06</t>
  </si>
  <si>
    <t>NEWR1L-SWRA-PSCFTS016-008</t>
    <phoneticPr fontId="4" type="noConversion"/>
  </si>
  <si>
    <t>NEWR1L-SWRA-PSCFTS016-009-01</t>
    <phoneticPr fontId="4" type="noConversion"/>
  </si>
  <si>
    <t>NEWR1L-SWRA-PSCFTS016-009-02</t>
    <phoneticPr fontId="4" type="noConversion"/>
  </si>
  <si>
    <t>NEWR1L-SWRA-PSCFTS016-010</t>
    <phoneticPr fontId="4" type="noConversion"/>
  </si>
  <si>
    <t>NEWR1L-SWRA-PSCFTS016-011</t>
    <phoneticPr fontId="4" type="noConversion"/>
  </si>
  <si>
    <t>NEWR1L-SWRA-PSCFTS016-012</t>
    <phoneticPr fontId="4" type="noConversion"/>
  </si>
  <si>
    <t>NEWR1L-SWRA-PSCFTS016-013</t>
    <phoneticPr fontId="4" type="noConversion"/>
  </si>
  <si>
    <t>NEWR1L-SWRA-PSCFTS016-014</t>
    <phoneticPr fontId="4" type="noConversion"/>
  </si>
  <si>
    <t>NEWR1L-SWRA-PSCFTS016-015</t>
    <phoneticPr fontId="4" type="noConversion"/>
  </si>
  <si>
    <t>NEWR1L-SWRA-PSCFTS016-016</t>
    <phoneticPr fontId="4" type="noConversion"/>
  </si>
  <si>
    <t>NEWR1L-SWRA-PSCFTS016-017-01</t>
    <phoneticPr fontId="4" type="noConversion"/>
  </si>
  <si>
    <t>NEWR1L-SWRA-PSCFTS016-017-02</t>
    <phoneticPr fontId="4" type="noConversion"/>
  </si>
  <si>
    <t>NEWR1L-SWRA-PSCFTS016-018</t>
    <phoneticPr fontId="4" type="noConversion"/>
  </si>
  <si>
    <t>NEWR1L-SWRA-PSCFTS016-019</t>
    <phoneticPr fontId="4" type="noConversion"/>
  </si>
  <si>
    <t>NEWR1L-SWRA-PSCFTS016-020</t>
    <phoneticPr fontId="4" type="noConversion"/>
  </si>
  <si>
    <t>newR1L-AntiTheft-002</t>
  </si>
  <si>
    <t>newR1L-AntiTheft-004</t>
  </si>
  <si>
    <t>newR1L-AntiTheft-005</t>
  </si>
  <si>
    <t>newR1L-AntiTheft-010</t>
  </si>
  <si>
    <t>newR1L-AntiTheft-011</t>
  </si>
  <si>
    <t>newR1L-AntiTheft-012</t>
  </si>
  <si>
    <t>newR1L-AntiTheft-013</t>
  </si>
  <si>
    <t>newR1L-AntiTheft-014</t>
  </si>
  <si>
    <t>newR1L-AntiTheft-015</t>
  </si>
  <si>
    <t>newR1L-AntiTheft-016</t>
  </si>
  <si>
    <t>newR1L-AntiTheft-017</t>
  </si>
  <si>
    <t>newR1L-AntiTheft-018</t>
  </si>
  <si>
    <t>newR1L-AntiTheft-019</t>
  </si>
  <si>
    <t>newR1L-AntiTheft-020</t>
  </si>
  <si>
    <t>newR1L-AntiTheft-021</t>
  </si>
  <si>
    <t>newR1L-AntiTheft-022</t>
  </si>
  <si>
    <t>newR1L-AntiTheft-023</t>
  </si>
  <si>
    <t>newR1L-AntiTheft-024</t>
  </si>
  <si>
    <t>newR1L-AntiTheft-025</t>
  </si>
  <si>
    <t>newR1L-AntiTheft-026</t>
  </si>
  <si>
    <t>newR1L-AntiTheft-027</t>
  </si>
  <si>
    <t>newR1L-AntiTheft-029</t>
  </si>
  <si>
    <t>newR1L-AntiTheft-030</t>
  </si>
  <si>
    <t>newR1L-AntiTheft-031</t>
  </si>
  <si>
    <t>newR1L-AntiTheft-032</t>
  </si>
  <si>
    <t>newR1L-AntiTheft-033</t>
  </si>
  <si>
    <t>newR1L-AntiTheft-035</t>
  </si>
  <si>
    <t>newR1L-AntiTheft-036</t>
  </si>
  <si>
    <t>Setup</t>
    <phoneticPr fontId="13" type="noConversion"/>
  </si>
  <si>
    <t>UI</t>
    <phoneticPr fontId="4" type="noConversion"/>
  </si>
  <si>
    <t>Climate</t>
    <phoneticPr fontId="4" type="noConversion"/>
  </si>
  <si>
    <t>Safety</t>
  </si>
  <si>
    <t>Media</t>
    <phoneticPr fontId="4" type="noConversion"/>
  </si>
  <si>
    <t>Security</t>
    <phoneticPr fontId="4" type="noConversion"/>
  </si>
  <si>
    <t>Input</t>
    <phoneticPr fontId="4" type="noConversion"/>
  </si>
  <si>
    <t>State</t>
    <phoneticPr fontId="4" type="noConversion"/>
  </si>
  <si>
    <t>Validation</t>
    <phoneticPr fontId="4" type="noConversion"/>
  </si>
  <si>
    <t>Error</t>
    <phoneticPr fontId="4" type="noConversion"/>
  </si>
  <si>
    <t>IF Vin check procedure fails due to a mismatch between stored non-default VIN and received LTM_VIN_DATA, the HU node shall remain blocked.</t>
  </si>
  <si>
    <t>IF Vin check procedure fails due to a mismatch between stored non-default VIN and received LTM_VIN_DATA, the HU node shall set itself to receive the code (MasterCode) manually.</t>
  </si>
  <si>
    <t>IF Vin check procedure fails due to a mismatch between stored non-default VIN and received LTM_VIN_DATA, the HU node shall provide the specific popup message to the customer in order to insert MasterCode_Setting.Info.</t>
  </si>
  <si>
    <t>For the popup message about antitheft code insertion refer to HU HMI Specification.</t>
    <phoneticPr fontId="4" type="noConversion"/>
  </si>
  <si>
    <t>HU allows up to NumberOfAttempts consecutive incorrect code entries.</t>
  </si>
  <si>
    <t>Refer to HU HMI document for the popup message about an incorrect code insertion.</t>
  </si>
  <si>
    <t>HU shall set Manual_Code.Info internal signal to "Not_Fail" when the user sets a correct MasterCode_Setting.Info.</t>
  </si>
  <si>
    <t>HU shall set Manual_Code.Info internal signal to "Fail" when the user sets a wrong MasterCode_Setting.Info.</t>
  </si>
  <si>
    <t>IF more than NumberOfAttempts incorrect MasterCode_Setting.Info entries are attempted, HU has to stay in Blocked condition at least until the Timeout_63 expiration.</t>
  </si>
  <si>
    <t>IF more than NumberOfAttempts incorrect MasterCode_Setting.Info entries are attempted, HU has to reset NumberOfAttempts to its original value.</t>
  </si>
  <si>
    <t>Refer to HU HMI Specification for the visualization on the screen during Timeout_63 waiting time.</t>
  </si>
  <si>
    <t>Then, if the procedure is successfully AND HU has to pass to "Idle" state (refer to VF169), HU has to show a "Radio Enabled" popup.</t>
  </si>
  <si>
    <t>The "Radio Enabled" popup should refer to  HU HMI document.</t>
  </si>
  <si>
    <t>HU has to switch to "Idle" state.</t>
  </si>
  <si>
    <t>HU power up must be guaranteed also without being mounted on a vehicle equipped with CAN network, for diagnostic, testing and development (Engineering Line). In this case, Anti-theft functionality must be disabled.</t>
  </si>
  <si>
    <t>Every time that HU has to enter Bench mode according to VF169 requirements, HU has to disable the antitheft functionality and then enter Bench mode with full functionalities.</t>
  </si>
  <si>
    <t>In "Ignition On", HU shall bypass Antitheft functionality IF LTM_VinLock.Info == False.</t>
  </si>
  <si>
    <t>In "Ignition On Engine On", HU shall bypass Antitheft functionality IF LTM_VinLock.Info == False.</t>
  </si>
  <si>
    <t>In "Ignition Off", HU shall bypass Antitheft functionality IF LTM_VinLock.Info == False.</t>
  </si>
  <si>
    <t>Remark: Bypassing/disabling antitheft functionality means ignoring Antitheft_Activation.Req transitions to "True"value if any of previous conditions occur.</t>
  </si>
  <si>
    <t>After HU stored a non-default VIN, HU can enter Bench status for testing, diagnosis or development bypassing Antitheft functionality only for a limited amount of times. See VF169 for further details.</t>
    <phoneticPr fontId="4" type="noConversion"/>
  </si>
  <si>
    <t>IF HU receives signal LTM_OperationalModeSts.Info equal to "SNA" value while Antitheft_Activation.Req is equal to "True" value THEN HU has to: - interrupt Antitheft functionality, if not completed yet (i.e. if Antitheft_Result.Info == "In_Progress") - set Antitheft_Result.Info and $AntiTheftStatus$ to "Not_Successfully" value as long as these conditions are satisfied.</t>
    <phoneticPr fontId="4" type="noConversion"/>
  </si>
  <si>
    <t>In case of unsuccessful antitheft procedure, HU shall stay in blocked state, setting Antitheft_Result.Info and $AntiTheftStatus$ to "Not_Successfully".</t>
    <phoneticPr fontId="4" type="noConversion"/>
  </si>
  <si>
    <t>In any of these conditions HU shall continue to stay in a blocked state setting Antitheft_Result.Info and $AntiTheftStatus$ equal to "In_Progress", until Response_Wait_Time expiration.</t>
    <phoneticPr fontId="4" type="noConversion"/>
  </si>
  <si>
    <t>HU shall also continue to stay blocked and set Antitheft_Result.Info and $AntiTheftStatus$ equal to "Not_Successfully"</t>
    <phoneticPr fontId="4" type="noConversion"/>
  </si>
  <si>
    <t>HU shall check the correct sequence of the Vin parts. It means HU shall receive and evaluate following sequence:
- LTM_VIN_DATA AND LTM_VIN_MSG == "VIN_LO";
- LTM_VIN_DATA AND LTM_VIN_MSG == "VIN_MID";
- LTM_VIN_DATA AND LTM_VIN_MSG == "VIN_HI".</t>
    <phoneticPr fontId="4" type="noConversion"/>
  </si>
  <si>
    <t>IF received parts of LTM_VIN_DATA are out of sequence, HU shall discard and ignore all Vin parts left and to wait a new Vin sequence starting from LTM_VIN_MSG == "VIN_LO" again.</t>
    <phoneticPr fontId="4" type="noConversion"/>
  </si>
  <si>
    <t>IF any of the Vin parts LTM_VIN_DATA is equal to "SNA", HU shall discard and ignore all Vin parts left and to wait a new Vin sequence starting from LTM_VIN_MSG == "VIN_LO" again.</t>
    <phoneticPr fontId="4" type="noConversion"/>
  </si>
  <si>
    <t>IF any of the vin parts does not satisfy certain VIN requirements (see VIN norms), i.e. is not valid, HU shall discard and ignore all Vin parts left and to wait a new Vin sequence starting from LTM_VIN_MSG == "VIN_LO" again.</t>
    <phoneticPr fontId="4" type="noConversion"/>
  </si>
  <si>
    <t>IF a complete and valid vin is not received/evaluated within Response_Wait_Time expiration, at Response_Wait_Time expiration HU shall start another timer equal to AwaitingVINTimer and continue to display the splashscreen (if already shown: see VF169)</t>
    <phoneticPr fontId="4" type="noConversion"/>
  </si>
  <si>
    <t>At AwaitingVINTimer expiration, IF a complete and valid vin is not received/evaluated, HU shall display an error screen asking the user to restart the vehicle in order to restart all the functionality.
This screen replaces the splash screen, if it was already shown.</t>
    <phoneticPr fontId="4" type="noConversion"/>
  </si>
  <si>
    <t>TLM has to show an error message on its screen, asking the user to restart the vehicle (see TLM HMI Specification).</t>
    <phoneticPr fontId="4" type="noConversion"/>
  </si>
  <si>
    <t>In case of systems equipped with diagnosis capabilities, the supplier developed functions shall be compliant with the company standards.</t>
    <phoneticPr fontId="4" type="noConversion"/>
  </si>
  <si>
    <t>1. Stored a non-default VIN on the HU</t>
    <phoneticPr fontId="4" type="noConversion"/>
  </si>
  <si>
    <t>1. Verify the screen.
2. Tap on all available touch areas.</t>
  </si>
  <si>
    <t>1. The screen should display according to the HMI specification.
2. The alignment and graphics of the screen content should be matching with the HMI specification.</t>
  </si>
  <si>
    <t>CFTS016-4921348</t>
    <phoneticPr fontId="4" type="noConversion"/>
  </si>
  <si>
    <t>CFTS016-4921353
Core HMI Logic and Flow R1 SR24 Post 2A - AT5</t>
    <phoneticPr fontId="4" type="noConversion"/>
  </si>
  <si>
    <t>CFTS016-4921349</t>
    <phoneticPr fontId="4" type="noConversion"/>
  </si>
  <si>
    <t>CFTS016-4921353
Core HMI Logic and Flow R1 SR24 Post 2A - AT5</t>
    <phoneticPr fontId="4" type="noConversion"/>
  </si>
  <si>
    <t>CFTS016-4921350</t>
    <phoneticPr fontId="4" type="noConversion"/>
  </si>
  <si>
    <t>CFTS016-4921351</t>
    <phoneticPr fontId="4" type="noConversion"/>
  </si>
  <si>
    <t>CFTS016-4921352</t>
    <phoneticPr fontId="4" type="noConversion"/>
  </si>
  <si>
    <t>CFTS016-4921363</t>
    <phoneticPr fontId="4" type="noConversion"/>
  </si>
  <si>
    <t>CFTS016-4921365
Core HMI Logic and Flow R1 SR24 Post 2A - AT1
Pop Up List HMI R1 SR24 Post 2A (Dec 15, 2023).xlsx - PU0031</t>
    <phoneticPr fontId="4" type="noConversion"/>
  </si>
  <si>
    <t>CFTS016-4921368</t>
    <phoneticPr fontId="4" type="noConversion"/>
  </si>
  <si>
    <t>CFTS016-4921369
Core HMI Logic and Flow R1 SR24 Post 2A - AT2
Pop Up List HMI R1 SR24 Post 2A (Dec 15, 2023).xlsx - PU0033</t>
    <phoneticPr fontId="4" type="noConversion"/>
  </si>
  <si>
    <t>CFTS016-4921371</t>
    <phoneticPr fontId="4" type="noConversion"/>
  </si>
  <si>
    <t>CFTS016-4921374</t>
    <phoneticPr fontId="4" type="noConversion"/>
  </si>
  <si>
    <t>CFTS016-4921374
Pop Up List HMI R1 SR24 Post 2A (Dec 15, 2023) - PU0032</t>
    <phoneticPr fontId="4" type="noConversion"/>
  </si>
  <si>
    <t>CFTS016-4921376
Core HMI Logic and Flow R1 SR24 Post 2A - AT3
Pop Up List HMI R1 SR24 Post 2A (Dec 15, 2023).xlsx - PU0032</t>
    <phoneticPr fontId="4" type="noConversion"/>
  </si>
  <si>
    <t>CFTS016-4921381
Pop Up List HMI R1 SR24 Post 2A (Dec 15, 2023) - PU0028</t>
    <phoneticPr fontId="4" type="noConversion"/>
  </si>
  <si>
    <t>CFTS016-4921381
Core HMI Logic and Flow R1 SR24 Post 2A - AT4.1
Pop Up List HMI R1 SR24 Post 2A (Dec 15, 2023) - PU0028</t>
    <phoneticPr fontId="4" type="noConversion"/>
  </si>
  <si>
    <t>CFTS016-4921381</t>
    <phoneticPr fontId="4" type="noConversion"/>
  </si>
  <si>
    <t>CFTS016-4921393</t>
    <phoneticPr fontId="4" type="noConversion"/>
  </si>
  <si>
    <t>CFTS016-4921395</t>
    <phoneticPr fontId="4" type="noConversion"/>
  </si>
  <si>
    <t>CFTS016-4921398</t>
    <phoneticPr fontId="4" type="noConversion"/>
  </si>
  <si>
    <t>CFTS016-4921400</t>
    <phoneticPr fontId="4" type="noConversion"/>
  </si>
  <si>
    <t>CFTS016-4921394</t>
    <phoneticPr fontId="4" type="noConversion"/>
  </si>
  <si>
    <t>CFTS016-4921532</t>
    <phoneticPr fontId="4" type="noConversion"/>
  </si>
  <si>
    <t>CFTS016-4921357</t>
    <phoneticPr fontId="4" type="noConversion"/>
  </si>
  <si>
    <t>CFTS016-4921512</t>
    <phoneticPr fontId="4" type="noConversion"/>
  </si>
  <si>
    <t>CFTS016-4921515</t>
    <phoneticPr fontId="4" type="noConversion"/>
  </si>
  <si>
    <t>CFTS016-4921501</t>
    <phoneticPr fontId="4" type="noConversion"/>
  </si>
  <si>
    <t>CFTS016-4921504</t>
    <phoneticPr fontId="4" type="noConversion"/>
  </si>
  <si>
    <t>CFTS016-4921510</t>
    <phoneticPr fontId="4" type="noConversion"/>
  </si>
  <si>
    <t>CFTS016-4921507</t>
    <phoneticPr fontId="4" type="noConversion"/>
  </si>
  <si>
    <t>CFTS016-4921513
Core HMI Logic and Flow R1 SR24 Post 2A - AT2</t>
    <phoneticPr fontId="4" type="noConversion"/>
  </si>
  <si>
    <t>CFTS016-4921514
Core HMI Logic and Flow R1 SR24 Post 2A - AT2</t>
    <phoneticPr fontId="4" type="noConversion"/>
  </si>
  <si>
    <t>CFTS016-4921321
Core HMI Logic and Flow R1 SR24 Post 2A - AT2
Pop Up List HMI R1 SR24 Post 2A (Dec 15, 2023).xlsx - PU0035</t>
    <phoneticPr fontId="4" type="noConversion"/>
  </si>
  <si>
    <t>CFTS016-4921495
CFTS016-4921580</t>
    <phoneticPr fontId="4" type="noConversion"/>
  </si>
  <si>
    <t>#SYTD-IF-AntiTheft_FUN-00506-v01#</t>
  </si>
  <si>
    <t>#SYTD-IF-AntiTheft_FUN-00616-v01#</t>
    <phoneticPr fontId="4" type="noConversion"/>
  </si>
  <si>
    <t>1. The screen should show the TLM-only setup menu.
2. Touch should work properly.</t>
    <phoneticPr fontId="4" type="noConversion"/>
  </si>
  <si>
    <t>1. The screen should display according to the HMI specification.
2. The alignment and graphics of the screen content should match the HMI specification.</t>
    <phoneticPr fontId="4" type="noConversion"/>
  </si>
  <si>
    <t>newR1L-AntiTheft-006</t>
    <phoneticPr fontId="4" type="noConversion"/>
  </si>
  <si>
    <t>1. Change the value of STATUS_CLIMATE3.HVACDRVTemp.
2. Change the value of STATUS_CLIMATE3.HVACPSNTemp.</t>
    <phoneticPr fontId="4" type="noConversion"/>
  </si>
  <si>
    <t>1. A small notification (teletype) should appear above the aircon icon indicating that the setting has been changed.</t>
    <phoneticPr fontId="4" type="noConversion"/>
  </si>
  <si>
    <t>1. The temperature displayed on the status line should be updated accordingly.</t>
    <phoneticPr fontId="4" type="noConversion"/>
  </si>
  <si>
    <t>#SYTD-IF-AntiTheft_FUN-00462-v01#</t>
    <phoneticPr fontId="4" type="noConversion"/>
  </si>
  <si>
    <t>#SYTD-IF-AntiTheft_FUN-00463-v01#</t>
    <phoneticPr fontId="4" type="noConversion"/>
  </si>
  <si>
    <t>TLM climate controls;
State line change.</t>
    <phoneticPr fontId="4" type="noConversion"/>
  </si>
  <si>
    <t>TLM climate controls;
Notification pop.</t>
    <phoneticPr fontId="4" type="noConversion"/>
  </si>
  <si>
    <t>1. Ecall operation should be available.</t>
    <phoneticPr fontId="4" type="noConversion"/>
  </si>
  <si>
    <t>#SYTD-IF-AntiTheft_FUN-00465-v01#</t>
    <phoneticPr fontId="4" type="noConversion"/>
  </si>
  <si>
    <t xml:space="preserve">	#SYTD-IF-AntiTheft_FUN-00466-v01#</t>
    <phoneticPr fontId="4" type="noConversion"/>
  </si>
  <si>
    <t>1. The audio is not played.
2. CTRL_AMP.AUD_LVLSts is set as 0.</t>
    <phoneticPr fontId="4" type="noConversion"/>
  </si>
  <si>
    <t>#SYTD-IF-AntiTheft_FUN-00470-v01#</t>
    <phoneticPr fontId="4" type="noConversion"/>
  </si>
  <si>
    <t>#SYTD-IF-AntiTheft_FUN-00471-v01#</t>
    <phoneticPr fontId="4" type="noConversion"/>
  </si>
  <si>
    <t>Blocked, Master Code Input</t>
    <phoneticPr fontId="4" type="noConversion"/>
  </si>
  <si>
    <t>Blocked,
Restart Required</t>
    <phoneticPr fontId="4" type="noConversion"/>
  </si>
  <si>
    <t>1. Verify the popup message on the screen.</t>
    <phoneticPr fontId="4" type="noConversion"/>
  </si>
  <si>
    <t>1. Input incorrect code and submit.</t>
    <phoneticPr fontId="4" type="noConversion"/>
  </si>
  <si>
    <t>1. Input incorrect code repeatedly (N times).</t>
    <phoneticPr fontId="4" type="noConversion"/>
  </si>
  <si>
    <t>1. Input incorrect code, submit, verify popup.</t>
    <phoneticPr fontId="4" type="noConversion"/>
  </si>
  <si>
    <t>1. Popup message matches the HMI specification.</t>
    <phoneticPr fontId="4" type="noConversion"/>
  </si>
  <si>
    <t>1. The HU shall show a popup to notify the user to input code manually.</t>
    <phoneticPr fontId="4" type="noConversion"/>
  </si>
  <si>
    <t>1. The error popup shall display text, alignment, and graphics that match the HMI specification for the popup message.</t>
    <phoneticPr fontId="4" type="noConversion"/>
  </si>
  <si>
    <t>#SYTD-IF-AntiTheft_FUN-00498-v01#</t>
    <phoneticPr fontId="4" type="noConversion"/>
  </si>
  <si>
    <t>1. If incorrect entries reach the NumberOfAttempts threshold, HU shall be locked for the specified period (e.g., 30 minutes).</t>
    <phoneticPr fontId="4" type="noConversion"/>
  </si>
  <si>
    <t>1. Enter an incorrect code on the code input screen.
2. Verify the popup message.</t>
    <phoneticPr fontId="4" type="noConversion"/>
  </si>
  <si>
    <t>1. A popup message is displayed after each incorrect code entry.
2. The popup content, text alignment, and graphics match the HMI specification.</t>
    <phoneticPr fontId="4" type="noConversion"/>
  </si>
  <si>
    <t>1. Verify the screen.
2. Compare the alignment and graphics of the screen content with the HMI specification.</t>
    <phoneticPr fontId="4" type="noConversion"/>
  </si>
  <si>
    <t>1. Perform an E-call operation.</t>
    <phoneticPr fontId="4" type="noConversion"/>
  </si>
  <si>
    <t>1. Perform an Ecall operation.</t>
    <phoneticPr fontId="4" type="noConversion"/>
  </si>
  <si>
    <t>1. Ecall should works normally.</t>
    <phoneticPr fontId="4" type="noConversion"/>
  </si>
  <si>
    <t>1. Rcall should works normally.</t>
    <phoneticPr fontId="4" type="noConversion"/>
  </si>
  <si>
    <t>1. Perform an Rcall operation.</t>
    <phoneticPr fontId="4" type="noConversion"/>
  </si>
  <si>
    <t>1. Rcall operation should be available.</t>
    <phoneticPr fontId="4" type="noConversion"/>
  </si>
  <si>
    <t>Rcall services;
Basic operation
(No special screen displayed).</t>
    <phoneticPr fontId="4" type="noConversion"/>
  </si>
  <si>
    <t>TLM full setup menu, IF the Ignition Working Condition is different from "Ignition_Pre_Off" OR "Ignition_Off".</t>
    <phoneticPr fontId="4" type="noConversion"/>
  </si>
  <si>
    <t>Ecall services;
Basic operation
(No special screen displayed).</t>
    <phoneticPr fontId="4" type="noConversion"/>
  </si>
  <si>
    <t>Ecall services;
Operation on "Restart Required" screen
(While "Restart Required" screen is displayed).</t>
    <phoneticPr fontId="4" type="noConversion"/>
  </si>
  <si>
    <t>Rcall services;
Operation on "Restart Required" screen
(While "Restart Required" screen is displayed).</t>
    <phoneticPr fontId="4" type="noConversion"/>
  </si>
  <si>
    <t>Entertainment set to OFF (with audio OFF);
Master Code Input screen.</t>
    <phoneticPr fontId="4" type="noConversion"/>
  </si>
  <si>
    <t>Entertainment set to OFF (with audio OFF);
Restart Required screen.</t>
    <phoneticPr fontId="4" type="noConversion"/>
  </si>
  <si>
    <t>Entertainment set to OFF (with audio OFF);
blocked state, no special screen).</t>
    <phoneticPr fontId="4" type="noConversion"/>
  </si>
  <si>
    <t>1. Play audio.
2. Check audio volume CAN signal.</t>
    <phoneticPr fontId="4" type="noConversion"/>
  </si>
  <si>
    <t xml:space="preserve">1. Play audio.
2. Check audio volume CAN signal. </t>
    <phoneticPr fontId="4" type="noConversion"/>
  </si>
  <si>
    <t>1. After entering the correct master code, the value of Manual_Code.Info  be "Not_Fail".</t>
    <phoneticPr fontId="4" type="noConversion"/>
  </si>
  <si>
    <t>1. Enter the correct  master code on the HU code input screen.
2.  Observe the value of Manual_Code.Info via the CAN tool.</t>
    <phoneticPr fontId="4" type="noConversion"/>
  </si>
  <si>
    <t>1. After entering the correct master code, the value of Manual_Code.Info  be "Fail".</t>
    <phoneticPr fontId="4" type="noConversion"/>
  </si>
  <si>
    <t>1. Enter the incorrect  master code on the HU code input screen.
2.  Observe the value of Manual_Code.Info via the CAN tool.</t>
    <phoneticPr fontId="4" type="noConversion"/>
  </si>
  <si>
    <t>1. Enter an incorrect code for NumberOfAttempts times (e.g., 3 times).
2. Observe the system enters Blocked state (Timeout_63 starts)
3. Attempt to access manual code input before Timeout_63 expires.</t>
    <phoneticPr fontId="4" type="noConversion"/>
  </si>
  <si>
    <t>1. HU remains in Blocked state and code input is inaccessible until Timeout_63 expires.</t>
    <phoneticPr fontId="4" type="noConversion"/>
  </si>
  <si>
    <t>1. HU is in Blocked state due to exceeding NumberOfAttempts (Timeout_63 active).</t>
    <phoneticPr fontId="4" type="noConversion"/>
  </si>
  <si>
    <t>1. Wait for Timeout_63 to expire.
2. Enter incorrect code again multiple times.</t>
    <phoneticPr fontId="4" type="noConversion"/>
  </si>
  <si>
    <t>1. After Timeout_63, the HU should allow up to NumberOfAttempts incorrect entries before Blocked state reoccurs.</t>
    <phoneticPr fontId="4" type="noConversion"/>
  </si>
  <si>
    <t>1. Observe the HU display throughout Timeout_63 period.</t>
    <phoneticPr fontId="4" type="noConversion"/>
  </si>
  <si>
    <t>IF more than NumberOfAttempts incorrect MasterCode_Setting.Info entries are attempted, HU has to start Timeout_63 and to disable entering MasterCode_Setting.Info for Timeout_63.</t>
    <phoneticPr fontId="4" type="noConversion"/>
  </si>
  <si>
    <t>1. Enter incorrect master code for NumberOfAttempts times.
2. Observe that Timeout_63 is started (e.g., Blocked/waiting screen appears).
3. During the entire Timeout_63 period, attempt to access or interact with the manual code input UI.</t>
    <phoneticPr fontId="4" type="noConversion"/>
  </si>
  <si>
    <t>1. Timeout_63 is activated  after exceeding NumberOfAttempts.
2. Manual code input UI is invisible and inaccessible during the entire Timeout_63.
3. User cannot enter or attempt to enter any code until Timeout_63 expires.</t>
    <phoneticPr fontId="4" type="noConversion"/>
  </si>
  <si>
    <t>1. Enter the correct  master code on the HU code input screen.
2. Observe the screen.</t>
    <phoneticPr fontId="4" type="noConversion"/>
  </si>
  <si>
    <t>1. A "Radio Enabled" popup should be displayed on the screen.</t>
    <phoneticPr fontId="4" type="noConversion"/>
  </si>
  <si>
    <t>1. Enter the correct  master code on the HU code input screen.
2. Observe the appearance of the popup.</t>
    <phoneticPr fontId="4" type="noConversion"/>
  </si>
  <si>
    <t>1. The waiting screen should match the HMI Specification (popup/text/graphics/layout are correct).</t>
    <phoneticPr fontId="4" type="noConversion"/>
  </si>
  <si>
    <t>1. The "Radio Enabled" popup should match the HMI Specification (popup/text/graphics/layout are correct).</t>
    <phoneticPr fontId="4" type="noConversion"/>
  </si>
  <si>
    <t>1. Enter the correct  master code on the HU code input screen.
2. Observe the signal on the CAN tool.</t>
    <phoneticPr fontId="4" type="noConversion"/>
  </si>
  <si>
    <t>1. The CAN tool should receive the signal indicating that the system state has transitioned to "Idle".</t>
    <phoneticPr fontId="4" type="noConversion"/>
  </si>
  <si>
    <t xml:space="preserve">               </t>
    <phoneticPr fontId="4" type="noConversion"/>
  </si>
  <si>
    <t>1. HU is not mounted on a vehicle (no CAN network connection).
2. HU is powered OFF.</t>
    <phoneticPr fontId="4" type="noConversion"/>
  </si>
  <si>
    <t>1. Power up the HU.
2. Observe the system status.</t>
    <phoneticPr fontId="4" type="noConversion"/>
  </si>
  <si>
    <t>1. HU disables Anti-Theft functionality in Bench mode.
2. HU enters Bench mode with all features available.</t>
    <phoneticPr fontId="4" type="noConversion"/>
  </si>
  <si>
    <t>1. HU shall not enter the Anti-Theft mode.
2. All functionalities should be available for diagnostic/testing.</t>
    <phoneticPr fontId="4" type="noConversion"/>
  </si>
  <si>
    <t>1. Power up the HU.
2. Enter the Bench mode according to the procedure 
3. Observe the system status.</t>
    <phoneticPr fontId="4" type="noConversion"/>
  </si>
  <si>
    <t>1. Use CAN tool to send the signal: VinLockInfo = False.
2. Observe the HU status.</t>
    <phoneticPr fontId="4" type="noConversion"/>
  </si>
  <si>
    <t>1. HU shall not enter the Anti-Theft mode.</t>
    <phoneticPr fontId="4" type="noConversion"/>
  </si>
  <si>
    <t>1. Battery ON, Ignition Off.
2. The vehicle's VIN number does not match the radio.</t>
    <phoneticPr fontId="4" type="noConversion"/>
  </si>
  <si>
    <t>1. Battery ON, Ignition ON.
2. The restart required screen is displayed.</t>
    <phoneticPr fontId="4" type="noConversion"/>
  </si>
  <si>
    <t>1. Battery ON, Ignition ON.
2. The master code input screen is displayed.</t>
    <phoneticPr fontId="4" type="noConversion"/>
  </si>
  <si>
    <t>1. Battery ON, Ignition OFF.
2. TBM is functional and connected to HU.
3. Connect the CAN tool to the HU.</t>
    <phoneticPr fontId="4" type="noConversion"/>
  </si>
  <si>
    <t>1. Battery ON, Ignition OFF.
2. “Restart Required” screen is displayed.
3. TBM is functional and connected to HU.
4. Connect the CAN tool to the HU.</t>
    <phoneticPr fontId="4" type="noConversion"/>
  </si>
  <si>
    <t>1. Battery ON, Ignition OFF.
2. “Restart Required” screen is displayed.
3. TBM is functional and connected to HU.
4.  Connect the CAN tool to the HU.</t>
    <phoneticPr fontId="4" type="noConversion"/>
  </si>
  <si>
    <t>1. Battery ON, Ignition OFF.
2. The “Master Code Input” screen is displayed.
3. Connect the CAN tool to the HU.</t>
    <phoneticPr fontId="4" type="noConversion"/>
  </si>
  <si>
    <t>1. Battery ON, Ignition OFF.
2. The “Restart Required” screen is displayed.
3. Connect the CAN tool to the HU.</t>
    <phoneticPr fontId="4" type="noConversion"/>
  </si>
  <si>
    <t>1. Battery ON, Ignition OFF.
2. The vehicle's VIN number does not match the radio.
3. Connect the CAN tool to the HU.</t>
    <phoneticPr fontId="4" type="noConversion"/>
  </si>
  <si>
    <t>1. Battery ON, Ignition ON.
2. The vehicle's VIN number match the radio.</t>
    <phoneticPr fontId="4" type="noConversion"/>
  </si>
  <si>
    <t>1. Battery ON, Ignition ON.
2. The vehicle's VIN number does not match the radio.
3. Connect the CAN tool to the HU.
4. HU is waiting for code input.</t>
    <phoneticPr fontId="4" type="noConversion"/>
  </si>
  <si>
    <t>1. Battery ON, Ignition ON.
2. The vehicle's VIN number does not match the radio.
3. HU is waiting for code input.</t>
    <phoneticPr fontId="4" type="noConversion"/>
  </si>
  <si>
    <t>1. Battery ON, Ignition ON.
2. The vehicle's VIN number does not match the radio.
3. HU is waiting for code input.
4. Connect the CAN tool to the HU</t>
    <phoneticPr fontId="4" type="noConversion"/>
  </si>
  <si>
    <t>1. Battery ON, Ignition ON.
2. The vehicle's VIN number does not match the radio.
3. Connect the CAN tool to the HU</t>
    <phoneticPr fontId="4" type="noConversion"/>
  </si>
  <si>
    <t>1. Battery ON, Ignition ON, Engine ON.
2. The vehicle's VIN number does not match the radio.
3. Connect the CAN tool to the HU</t>
    <phoneticPr fontId="4" type="noConversion"/>
  </si>
  <si>
    <t>1. HU shall not enter the Anti-Theft mode, even if Antitheft_ActivationReq transitions to True while bypass conditions are active.</t>
    <phoneticPr fontId="4" type="noConversion"/>
  </si>
  <si>
    <t>1. Use CAN tool to send the signal: Antitheft_ActivationReq = True.
2. Observe the HU status.</t>
    <phoneticPr fontId="4" type="noConversion"/>
  </si>
  <si>
    <t>1. Any bypass condition is met (e.g., Bench mode, VIN not locked, etc.).
2. Battery ON.</t>
    <phoneticPr fontId="4" type="noConversion"/>
  </si>
  <si>
    <t>1. Power on the HU and enter Bench mode.
2. Repeat the process up to the maximum allowed times as defined in VF169.
3. Each time, observe if Antitheft functionality is bypassed.
4. Attempt to enter Bench mode after exceeding the predefined number of allowed times.
5. Observe system behavior.</t>
    <phoneticPr fontId="4" type="noConversion"/>
  </si>
  <si>
    <t>1. For the predefined number of times (per VF169), HU can enter Bench mode and bypass Antitheft.
2. After the limit is reached, Antitheft functionality is no longer bypassed—HU should enter or remain in Antitheft mode.</t>
    <phoneticPr fontId="4" type="noConversion"/>
  </si>
  <si>
    <t>1. HU is powered on and Antitheft activation process is in progress (Antitheft_Result.Info = "In_Progress").</t>
    <phoneticPr fontId="4" type="noConversion"/>
  </si>
  <si>
    <t>1. Start the Antitheft activation process and ensure it is "In_Progress".
2. Send LTM_OperationalModeSts.Info signal with value "SNA" via the relevant interface (e.g., CAN tool).
3. Observe system reaction.</t>
    <phoneticPr fontId="4" type="noConversion"/>
  </si>
  <si>
    <t>1. The Antitheft activation process is immediately interrupted.
2. UI shows that Antitheft was not successfully activated or displays an appropriate interruption message.
3. System logs/debug messages show that the activation process was stopped due to the "SNA" signal.
4. Any diagnostic tool (or error memory) reflects the interruption.</t>
    <phoneticPr fontId="4" type="noConversion"/>
  </si>
  <si>
    <t>1. HU is powered on and Antitheft activation is triggered.</t>
    <phoneticPr fontId="4" type="noConversion"/>
  </si>
  <si>
    <t>1. Antitheft_Result.Info and $AntiTheftStatus$ are set to "Not_Successfully" and maintained as long as SNA condition is present.
2. The HU shall indicate that antitheft activation was not successful, or show a relevant warning message.
3. System logs or diagnostic tools  shall record the "Not_Successfully" status for both antitheft result and status.</t>
    <phoneticPr fontId="4" type="noConversion"/>
  </si>
  <si>
    <t>1. HU is powered on.
2. An unsuccessful antitheft procedure is triggered (e.g., wrong password entered multiple times, or failed authentication).</t>
    <phoneticPr fontId="4" type="noConversion"/>
  </si>
  <si>
    <t>1. Trigger Antitheft activation request (Antitheft_ActivationReq = True).
2. Send LTM_OperationalModeSts.Info = "SNA" via CAN or relevant interface.
3. Observe HU status, UI, and check system logs.</t>
    <phoneticPr fontId="4" type="noConversion"/>
  </si>
  <si>
    <t>1. Attempt to activate or unlock the HU with an incorrect antitheft password, or simulate an unsuccessful antitheft scenario.
2. Observe the HU status via UI and, if possible, via logs/diagnostic tools.</t>
    <phoneticPr fontId="4" type="noConversion"/>
  </si>
  <si>
    <t>1. HU remains in a blocked state and does not allow normal operation.
2. Antitheft_Result.Info and $AntiTheftStatus$ are both set to "Not_Successfully" and remain at this value.
3. UI displays the antitheft popup/message indicating failure, and no access to other functions is possible.</t>
    <phoneticPr fontId="4" type="noConversion"/>
  </si>
  <si>
    <t>newR1L-AntiTheft-037</t>
  </si>
  <si>
    <t>#SYTD-IF-AntiTheft_FUN-00516-v01#</t>
  </si>
  <si>
    <t>1. 1. Battery ON, Ignition ON.
2. The vehicle's VIN number does not match the radio.
3. HU is waiting for code input.</t>
    <phoneticPr fontId="4" type="noConversion"/>
  </si>
  <si>
    <t>#SYTD-IF-AntiTheft_FUN-00530-v01#</t>
    <phoneticPr fontId="4" type="noConversion"/>
  </si>
  <si>
    <t>#SYTD-IF-AntiTheft_FUN-00552-v01#</t>
    <phoneticPr fontId="4" type="noConversion"/>
  </si>
  <si>
    <t>1. Attempt to operate HU functions from the UI (touch screen, buttons, etc.).
2. Attempt to access HU via diagnostic tools (e.g., send commands, request data).
3. Attempt to unlock HU via external CAN signals.
4. Observe system reaction.</t>
    <phoneticPr fontId="4" type="noConversion"/>
  </si>
  <si>
    <t>1. All user operations are blocked.
2. UI displays antitheft block pop-up.
3. Diagnostic tool responses are limited according to blocked state (e.g., cannot change settings).
4. System remains in blocked state (status variables and communication reflect this) until correct authentication is provided.</t>
    <phoneticPr fontId="4" type="noConversion"/>
  </si>
  <si>
    <t>1. HU is in a state waiting for VIN authentication (e.g., after a reset or during antitheft check).</t>
    <phoneticPr fontId="4" type="noConversion"/>
  </si>
  <si>
    <t>newR1L-AntiTheft-038</t>
  </si>
  <si>
    <t>1. Use vehicle simulator or real CAN tools to send LTM_VIN_DATA with LTM_VIN_MSG = "VIN_LO".
2. Then send LTM_VIN_DATA with LTM_VIN_MSG = "VIN_MID".
3. Then send LTM_VIN_DATA with LTM_VIN_MSG = "VIN_HI".
4. Observe the HU reaction and status.
5. Repeat with out-of-order VIN messages or with missing parts.
6. Observe and record system response.</t>
    <phoneticPr fontId="4" type="noConversion"/>
  </si>
  <si>
    <t>1. HU only accepts the VIN if all three parts are received in the correct sequence.
2. Any out-of-order or missing VIN part results in authentication failure or error message.
3. UI and/or diagnostic tools clearly indicate VIN processing result.
4. System log or communication trace confirms correct sequence enforcement.</t>
    <phoneticPr fontId="4" type="noConversion"/>
  </si>
  <si>
    <t>newR1L-AntiTheft-039</t>
  </si>
  <si>
    <t>newR1L-AntiTheft-034</t>
  </si>
  <si>
    <t>1. HU is powered on and in a state requiring VIN authentication (e.g., after reset or anti-theft lock).
2. Diagnostic tools, CAN simulation tools, and UI are available.</t>
    <phoneticPr fontId="4" type="noConversion"/>
  </si>
  <si>
    <t>1. Using CAN tools, send LTM_VIN_DATA with LTM_VIN_MSG = "VIN_LO".
2. Send LTM_VIN_DATA with LTM_VIN_MSG = "VIN_MID".
3. Send LTM_VIN_DATA with LTM_VIN_MSG = "VIN_HI".
4. Observe HU reaction (UI, logs, status signals, and diagnostic responses).</t>
    <phoneticPr fontId="4" type="noConversion"/>
  </si>
  <si>
    <t>1. HU accepts the VIN as valid.
2. The anti-theft state transitions from blocked to normal (if appropriate).
3. UI display indicate successful VIN authentication.
4. System logs and diagnostics show successful VIN validation.</t>
    <phoneticPr fontId="4" type="noConversion"/>
  </si>
  <si>
    <t>1. HU discards all received VIN parts due to incorrect order.
2. The system resets the VIN reception process, waiting for the next valid VIN_LO message to start again.
3. UI or diagnostics indicate that VIN authentication failed or is waiting for new data.
4. No change in anti-theft blocked state.</t>
    <phoneticPr fontId="4" type="noConversion"/>
  </si>
  <si>
    <t>1. Send LTM_VIN_DATA with LTM_VIN_MSG = "VIN_LO" and valid data.
2. Send LTM_VIN_DATA with LTM_VIN_MSG = "VIN_MID" and data value "SNA".
3. Send LTM_VIN_DATA with LTM_VIN_MSG = "VIN_HI" and valid data.
4. Observe HU reaction.</t>
    <phoneticPr fontId="4" type="noConversion"/>
  </si>
  <si>
    <t>1. HU detects the "SNA" value in one of the VIN parts and discards all received VIN parts.
2. The system resets and waits for a new VIN_LO message to begin VIN authentication again.
3. UI/diagnostics/log indicate that VIN authentication failed or is waiting for valid data.
4. Anti-theft blocked state remains.</t>
    <phoneticPr fontId="4" type="noConversion"/>
  </si>
  <si>
    <t>1. Using CAN tools, send LTM_VIN_DATA with LTM_VIN_MSG = "VIN_LO".
2. Send LTM_VIN_DATA with LTM_VIN_MSG = "VIN_MID".
3. Send LTM_VIN_DATA with LTM_VIN_MSG = "VIN_HI" and valid data, such that the combined VIN is invalid (e.g., incorrect length, invalid characters, fails checksum).
4. Observe HU reaction (UI, logs, status signals, and diagnostic responses).</t>
    <phoneticPr fontId="4" type="noConversion"/>
  </si>
  <si>
    <t>1. HU verifies the combined VIN and finds it invalid.
2. HU discards all received VIN parts and resets to wait for a new VIN_LO.
3. UI/diagnostics/log display that VIN is not valid and system is waiting for new VIN input.
4. Anti-theft blocked state remains.</t>
    <phoneticPr fontId="4" type="noConversion"/>
  </si>
  <si>
    <t>newR1L-AntiTheft-040</t>
  </si>
  <si>
    <t>newR1L-AntiTheft-041</t>
  </si>
  <si>
    <t>newR1L-AntiTheft-042</t>
  </si>
  <si>
    <t>newR1L-AntiTheft-043</t>
  </si>
  <si>
    <t>2025/10/28</t>
    <phoneticPr fontId="4" type="noConversion"/>
  </si>
  <si>
    <t>1. HU is powered on and is in VIN authentication mode.
2. No valid/complete VIN has been received.</t>
    <phoneticPr fontId="4" type="noConversion"/>
  </si>
  <si>
    <t>1. Allow the HU to enter VIN authentication mode.
2. Do not send any valid VIN (or send only partial/invalid VIN).
3. Wait until the Response_Wait_Time expires.
4. Monitor system logs, diagnostic tools, or CAN signals to observe AwaitingVINTimer status.</t>
    <phoneticPr fontId="4" type="noConversion"/>
  </si>
  <si>
    <t>1. After Response_Wait_Time expires without a valid VIN, the HU automatically starts a new AwaitingVINTimer cycle.
2. Logs or diagnostics show the AwaitingVINTimer has restarted.
3. The system remains in the waiting-for-VIN state.</t>
    <phoneticPr fontId="4" type="noConversion"/>
  </si>
  <si>
    <t>newR1L-AntiTheft-044</t>
  </si>
  <si>
    <t>1. HU is in VIN authentication mode.
2. AwaitingVINTimer is running (after at least one Response_Wait_Time cycle without valid VIN).</t>
    <phoneticPr fontId="4" type="noConversion"/>
  </si>
  <si>
    <t>1. The UI continuously shows the splashscreen or error/waiting message (as defined in the requirements or VF169).
2. The main menu and other user operations are not accessible until a valid VIN is received.
3. The UI remains in this state throughout repeated timer cycles</t>
    <phoneticPr fontId="4" type="noConversion"/>
  </si>
  <si>
    <t>1. Confirm that no valid VIN is received, allowing AwaitingVINTimer to be triggered.
2. Observe the UI.</t>
    <phoneticPr fontId="4" type="noConversion"/>
  </si>
  <si>
    <t>newR1L-AntiTheft-045</t>
  </si>
  <si>
    <t>1. Start the HU and let it enter the VIN waiting/authentication mode.
2. Do not provide a valid VIN for the entire AwaitingVINTimer period (simulate missing/invalid VIN).
3. Wait until the AwaitingVINTimer expires.</t>
    <phoneticPr fontId="4" type="noConversion"/>
  </si>
  <si>
    <t>1. An error screen is displayed on the HU, asking the user to restart the vehicle to regain full functionality.
2. The error screen replaces any previous splash/waiting screen.
3. The error message screen meets the following HMI requirements
4. The system remains in this state until the vehicle is restarted and a valid VIN is received.</t>
    <phoneticPr fontId="4" type="noConversion"/>
  </si>
  <si>
    <t>1. On the displayed error screen, interact with all available touch areas (e.g., buttons, links, screen areas).
2. Observe the behavior of each UI element.</t>
    <phoneticPr fontId="4" type="noConversion"/>
  </si>
  <si>
    <t>1. All touch areas function as intended and as specified in the HMI documentation.
2. No unexpected actions or screen transitions occur.
3. The user cannot bypass the error screen unless the specified restart procedure is followed.</t>
    <phoneticPr fontId="4" type="noConversion"/>
  </si>
  <si>
    <t>newR1L-AntiTheft-046</t>
  </si>
  <si>
    <t>newR1L-AntiTheft-047</t>
  </si>
  <si>
    <r>
      <rPr>
        <sz val="10"/>
        <rFont val="新細明體"/>
        <family val="1"/>
        <charset val="136"/>
      </rPr>
      <t>一般功能正常運作</t>
    </r>
    <phoneticPr fontId="4" type="noConversion"/>
  </si>
  <si>
    <r>
      <t xml:space="preserve">Blocked,
</t>
    </r>
    <r>
      <rPr>
        <sz val="10"/>
        <rFont val="新細明體"/>
        <family val="1"/>
        <charset val="136"/>
      </rPr>
      <t>無特殊畫面</t>
    </r>
    <phoneticPr fontId="4" type="noConversion"/>
  </si>
  <si>
    <r>
      <rPr>
        <sz val="10"/>
        <rFont val="新細明體"/>
        <family val="1"/>
        <charset val="136"/>
      </rPr>
      <t>錯誤次數限制、鎖定機制</t>
    </r>
    <phoneticPr fontId="4" type="noConversion"/>
  </si>
  <si>
    <r>
      <rPr>
        <sz val="10"/>
        <rFont val="新細明體"/>
        <family val="1"/>
        <charset val="136"/>
      </rPr>
      <t>錯誤提示</t>
    </r>
    <phoneticPr fontId="4" type="noConversion"/>
  </si>
  <si>
    <r>
      <t>Timeout</t>
    </r>
    <r>
      <rPr>
        <sz val="10"/>
        <rFont val="新細明體"/>
        <family val="1"/>
        <charset val="136"/>
      </rPr>
      <t>結束後，可再次嘗試輸入，錯誤次數需重置</t>
    </r>
    <phoneticPr fontId="4" type="noConversion"/>
  </si>
  <si>
    <t xml:space="preserve">          </t>
    <phoneticPr fontId="4" type="noConversion"/>
  </si>
  <si>
    <t>Pei</t>
    <phoneticPr fontId="4" type="noConversion"/>
  </si>
  <si>
    <r>
      <t>Ecall</t>
    </r>
    <r>
      <rPr>
        <sz val="10"/>
        <rFont val="Microsoft JhengHei"/>
        <family val="1"/>
      </rPr>
      <t>要正常運作</t>
    </r>
    <phoneticPr fontId="4" type="noConversion"/>
  </si>
  <si>
    <r>
      <t>Rcall</t>
    </r>
    <r>
      <rPr>
        <sz val="10"/>
        <rFont val="Microsoft JhengHei"/>
        <family val="1"/>
      </rPr>
      <t>要正常運作</t>
    </r>
    <phoneticPr fontId="4" type="noConversion"/>
  </si>
  <si>
    <t>1. The HU shall display manual code input UI, touch should work properly.</t>
    <phoneticPr fontId="4" type="noConversion"/>
  </si>
  <si>
    <t>1. Enter an incorrect code consecutively up to NumberOfAttempts times on the code input screen,observe system behavior after exceeding the limit.</t>
    <phoneticPr fontId="4" type="noConversion"/>
  </si>
  <si>
    <t>new R1L</t>
    <phoneticPr fontId="4" type="noConversion"/>
  </si>
  <si>
    <t>SW Testing</t>
    <phoneticPr fontId="4" type="noConversion"/>
  </si>
  <si>
    <t>Non-Functional</t>
    <phoneticPr fontId="4" type="noConversion"/>
  </si>
  <si>
    <t>newR1L-AntiTheft-007</t>
  </si>
  <si>
    <t>newR1L-AntiTheft-008</t>
  </si>
  <si>
    <t>newR1L-AntiTheft-009</t>
  </si>
  <si>
    <t>newR1L-AntiTheft-028</t>
  </si>
  <si>
    <t>newR1L-AntiTheft-048</t>
  </si>
  <si>
    <r>
      <rPr>
        <sz val="10"/>
        <color theme="1"/>
        <rFont val="新細明體"/>
        <family val="1"/>
        <charset val="136"/>
      </rPr>
      <t>專案名稱</t>
    </r>
    <r>
      <rPr>
        <sz val="10"/>
        <color theme="1"/>
        <rFont val="Calibri"/>
        <family val="2"/>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</si>
  <si>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Calibri"/>
        <family val="2"/>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</si>
  <si>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Calibri"/>
        <family val="2"/>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</si>
  <si>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Calibri"/>
        <family val="2"/>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</si>
  <si>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Calibri"/>
        <family val="2"/>
      </rPr>
      <t xml:space="preserve"> Date</t>
    </r>
    <r>
      <rPr>
        <sz val="10"/>
        <color indexed="8"/>
        <rFont val="新細明體"/>
        <family val="1"/>
        <charset val="136"/>
      </rPr>
      <t>：</t>
    </r>
    <phoneticPr fontId="4" type="noConversion"/>
  </si>
  <si>
    <r>
      <t xml:space="preserve">Requirement or Design ID
</t>
    </r>
    <r>
      <rPr>
        <sz val="10"/>
        <color theme="1"/>
        <rFont val="新細明體"/>
        <family val="1"/>
        <charset val="136"/>
      </rPr>
      <t>需求</t>
    </r>
    <r>
      <rPr>
        <sz val="10"/>
        <color theme="1"/>
        <rFont val="Calibri"/>
        <family val="2"/>
      </rPr>
      <t>/</t>
    </r>
    <r>
      <rPr>
        <sz val="10"/>
        <color theme="1"/>
        <rFont val="新細明體"/>
        <family val="1"/>
        <charset val="136"/>
      </rPr>
      <t>設計</t>
    </r>
    <r>
      <rPr>
        <sz val="10"/>
        <color theme="1"/>
        <rFont val="Calibri"/>
        <family val="2"/>
      </rPr>
      <t xml:space="preserve"> ID</t>
    </r>
    <phoneticPr fontId="4" type="noConversion"/>
  </si>
  <si>
    <r>
      <t xml:space="preserve">Test Case ID
</t>
    </r>
    <r>
      <rPr>
        <sz val="10"/>
        <color theme="1"/>
        <rFont val="新細明體"/>
        <family val="1"/>
        <charset val="136"/>
      </rPr>
      <t>測試用例</t>
    </r>
    <r>
      <rPr>
        <sz val="10"/>
        <color theme="1"/>
        <rFont val="Calibri"/>
        <family val="2"/>
      </rPr>
      <t>ID</t>
    </r>
    <phoneticPr fontId="4" type="noConversion"/>
  </si>
  <si>
    <r>
      <rPr>
        <sz val="10"/>
        <color theme="1"/>
        <rFont val="新細明體"/>
        <family val="1"/>
        <charset val="136"/>
      </rPr>
      <t>需要</t>
    </r>
    <r>
      <rPr>
        <sz val="10"/>
        <color theme="1"/>
        <rFont val="Calibri"/>
        <family val="2"/>
      </rPr>
      <t xml:space="preserve"> VIN </t>
    </r>
    <r>
      <rPr>
        <sz val="10"/>
        <color theme="1"/>
        <rFont val="新細明體"/>
        <family val="1"/>
        <charset val="136"/>
      </rPr>
      <t>不符（進入</t>
    </r>
    <r>
      <rPr>
        <sz val="10"/>
        <color theme="1"/>
        <rFont val="Calibri"/>
        <family val="2"/>
      </rPr>
      <t xml:space="preserve"> Anti-Theft blocked </t>
    </r>
    <r>
      <rPr>
        <sz val="10"/>
        <color theme="1"/>
        <rFont val="新細明體"/>
        <family val="1"/>
        <charset val="136"/>
      </rPr>
      <t>狀態）
驗證</t>
    </r>
    <r>
      <rPr>
        <sz val="10"/>
        <color theme="1"/>
        <rFont val="Calibri"/>
        <family val="2"/>
      </rPr>
      <t xml:space="preserve"> TLM menu </t>
    </r>
    <r>
      <rPr>
        <sz val="10"/>
        <color theme="1"/>
        <rFont val="新細明體"/>
        <family val="1"/>
        <charset val="136"/>
      </rPr>
      <t>是否限制、功能如何反應</t>
    </r>
    <phoneticPr fontId="4" type="noConversion"/>
  </si>
  <si>
    <r>
      <rPr>
        <sz val="10"/>
        <color theme="1"/>
        <rFont val="新細明體"/>
        <family val="1"/>
        <charset val="136"/>
      </rPr>
      <t>需要進入</t>
    </r>
    <r>
      <rPr>
        <sz val="10"/>
        <color theme="1"/>
        <rFont val="Calibri"/>
        <family val="2"/>
      </rPr>
      <t xml:space="preserve"> Anti-Theft blocked </t>
    </r>
    <r>
      <rPr>
        <sz val="10"/>
        <color theme="1"/>
        <rFont val="新細明體"/>
        <family val="1"/>
        <charset val="136"/>
      </rPr>
      <t>狀態
驗證</t>
    </r>
    <r>
      <rPr>
        <sz val="10"/>
        <color theme="1"/>
        <rFont val="Calibri"/>
        <family val="2"/>
      </rPr>
      <t xml:space="preserve"> TLM menu </t>
    </r>
    <r>
      <rPr>
        <sz val="10"/>
        <color theme="1"/>
        <rFont val="新細明體"/>
        <family val="1"/>
        <charset val="136"/>
      </rPr>
      <t>是否限制、功能如何反應</t>
    </r>
    <phoneticPr fontId="4" type="noConversion"/>
  </si>
  <si>
    <r>
      <t xml:space="preserve">Ecall
</t>
    </r>
    <r>
      <rPr>
        <sz val="10"/>
        <rFont val="新細明體"/>
        <family val="1"/>
        <charset val="136"/>
      </rPr>
      <t>用途：緊急救援通話功能，當發生車禍或駕駛主動按下</t>
    </r>
    <r>
      <rPr>
        <sz val="10"/>
        <rFont val="Calibri"/>
        <family val="2"/>
      </rPr>
      <t xml:space="preserve"> Ecall </t>
    </r>
    <r>
      <rPr>
        <sz val="10"/>
        <rFont val="新細明體"/>
        <family val="1"/>
        <charset val="136"/>
      </rPr>
      <t>按鈕時，系統自動或手動撥出緊急電話給救援單位</t>
    </r>
    <phoneticPr fontId="4" type="noConversion"/>
  </si>
  <si>
    <r>
      <t>Rcall</t>
    </r>
    <r>
      <rPr>
        <sz val="10"/>
        <rFont val="新細明體"/>
        <family val="1"/>
        <charset val="136"/>
      </rPr>
      <t>（</t>
    </r>
    <r>
      <rPr>
        <sz val="10"/>
        <rFont val="Calibri"/>
        <family val="2"/>
      </rPr>
      <t>Roadside Assistance Call</t>
    </r>
    <r>
      <rPr>
        <sz val="10"/>
        <rFont val="新細明體"/>
        <family val="1"/>
        <charset val="136"/>
      </rPr>
      <t>）
用途：路邊救援服務（非緊急），需要協助，但不構成重大緊急事件。</t>
    </r>
    <phoneticPr fontId="4" type="noConversion"/>
  </si>
  <si>
    <r>
      <t>VIN check</t>
    </r>
    <r>
      <rPr>
        <sz val="10"/>
        <rFont val="新細明體"/>
        <family val="1"/>
        <charset val="136"/>
      </rPr>
      <t>失敗，</t>
    </r>
    <r>
      <rPr>
        <sz val="10"/>
        <rFont val="Calibri"/>
        <family val="2"/>
      </rPr>
      <t>HU</t>
    </r>
    <r>
      <rPr>
        <sz val="10"/>
        <rFont val="新細明體"/>
        <family val="1"/>
        <charset val="136"/>
      </rPr>
      <t>需維持</t>
    </r>
    <r>
      <rPr>
        <sz val="10"/>
        <rFont val="Calibri"/>
        <family val="2"/>
      </rPr>
      <t>blocked</t>
    </r>
    <phoneticPr fontId="4" type="noConversion"/>
  </si>
  <si>
    <r>
      <t>VIN check</t>
    </r>
    <r>
      <rPr>
        <sz val="10"/>
        <rFont val="新細明體"/>
        <family val="1"/>
        <charset val="136"/>
      </rPr>
      <t>失敗後，</t>
    </r>
    <r>
      <rPr>
        <sz val="10"/>
        <rFont val="Calibri"/>
        <family val="2"/>
      </rPr>
      <t>HU</t>
    </r>
    <r>
      <rPr>
        <sz val="10"/>
        <rFont val="新細明體"/>
        <family val="1"/>
        <charset val="136"/>
      </rPr>
      <t>進入可輸入</t>
    </r>
    <r>
      <rPr>
        <sz val="10"/>
        <rFont val="Calibri"/>
        <family val="2"/>
      </rPr>
      <t>MasterCode</t>
    </r>
    <r>
      <rPr>
        <sz val="10"/>
        <rFont val="新細明體"/>
        <family val="1"/>
        <charset val="136"/>
      </rPr>
      <t>的狀態。</t>
    </r>
    <phoneticPr fontId="4" type="noConversion"/>
  </si>
  <si>
    <r>
      <t>popup</t>
    </r>
    <r>
      <rPr>
        <sz val="10"/>
        <rFont val="新細明體"/>
        <family val="1"/>
        <charset val="136"/>
      </rPr>
      <t>內容需符合</t>
    </r>
    <r>
      <rPr>
        <sz val="10"/>
        <rFont val="Calibri"/>
        <family val="2"/>
      </rPr>
      <t>HMI</t>
    </r>
    <r>
      <rPr>
        <sz val="10"/>
        <rFont val="新細明體"/>
        <family val="1"/>
        <charset val="136"/>
      </rPr>
      <t>規範</t>
    </r>
    <phoneticPr fontId="4" type="noConversion"/>
  </si>
  <si>
    <r>
      <t>SWE.5
HU</t>
    </r>
    <r>
      <rPr>
        <sz val="10"/>
        <rFont val="新細明體"/>
        <family val="1"/>
        <charset val="136"/>
      </rPr>
      <t>針對手動密碼輸入正確時，內部訊號</t>
    </r>
    <r>
      <rPr>
        <sz val="10"/>
        <rFont val="Calibri"/>
        <family val="2"/>
      </rPr>
      <t>Manual_Code.Info</t>
    </r>
    <r>
      <rPr>
        <sz val="10"/>
        <rFont val="新細明體"/>
        <family val="1"/>
        <charset val="136"/>
      </rPr>
      <t xml:space="preserve">的狀態是否正確反映
</t>
    </r>
    <phoneticPr fontId="4" type="noConversion"/>
  </si>
  <si>
    <r>
      <t>SWE.5
HU</t>
    </r>
    <r>
      <rPr>
        <sz val="10"/>
        <rFont val="新細明體"/>
        <family val="1"/>
        <charset val="136"/>
      </rPr>
      <t>針對手動密碼輸入錯誤時，內部訊號</t>
    </r>
    <r>
      <rPr>
        <sz val="10"/>
        <rFont val="Calibri"/>
        <family val="2"/>
      </rPr>
      <t>Manual_Code.Info</t>
    </r>
    <r>
      <rPr>
        <sz val="10"/>
        <rFont val="新細明體"/>
        <family val="1"/>
        <charset val="136"/>
      </rPr>
      <t>的狀態是否正確反映</t>
    </r>
    <phoneticPr fontId="4" type="noConversion"/>
  </si>
  <si>
    <r>
      <rPr>
        <sz val="10"/>
        <rFont val="新細明體"/>
        <family val="1"/>
        <charset val="136"/>
      </rPr>
      <t>錯誤超過次數（</t>
    </r>
    <r>
      <rPr>
        <sz val="10"/>
        <rFont val="Calibri"/>
        <family val="2"/>
      </rPr>
      <t>NumberOfAttempts</t>
    </r>
    <r>
      <rPr>
        <sz val="10"/>
        <rFont val="新細明體"/>
        <family val="1"/>
        <charset val="136"/>
      </rPr>
      <t>），</t>
    </r>
    <r>
      <rPr>
        <sz val="10"/>
        <rFont val="Calibri"/>
        <family val="2"/>
      </rPr>
      <t>HU</t>
    </r>
    <r>
      <rPr>
        <sz val="10"/>
        <rFont val="新細明體"/>
        <family val="1"/>
        <charset val="136"/>
      </rPr>
      <t>進入</t>
    </r>
    <r>
      <rPr>
        <sz val="10"/>
        <rFont val="Calibri"/>
        <family val="2"/>
      </rPr>
      <t xml:space="preserve"> Timeout</t>
    </r>
    <r>
      <rPr>
        <sz val="10"/>
        <rFont val="新細明體"/>
        <family val="1"/>
        <charset val="136"/>
      </rPr>
      <t>（如</t>
    </r>
    <r>
      <rPr>
        <sz val="10"/>
        <rFont val="Calibri"/>
        <family val="2"/>
      </rPr>
      <t xml:space="preserve"> 30</t>
    </r>
    <r>
      <rPr>
        <sz val="10"/>
        <rFont val="新細明體"/>
        <family val="1"/>
        <charset val="136"/>
      </rPr>
      <t>分鐘），且期間手動輸入</t>
    </r>
    <r>
      <rPr>
        <sz val="10"/>
        <rFont val="Calibri"/>
        <family val="2"/>
      </rPr>
      <t>UI</t>
    </r>
    <r>
      <rPr>
        <sz val="10"/>
        <rFont val="新細明體"/>
        <family val="1"/>
        <charset val="136"/>
      </rPr>
      <t>不可用</t>
    </r>
    <phoneticPr fontId="4" type="noConversion"/>
  </si>
  <si>
    <r>
      <t>Timeout</t>
    </r>
    <r>
      <rPr>
        <sz val="10"/>
        <rFont val="新細明體"/>
        <family val="1"/>
        <charset val="136"/>
      </rPr>
      <t>期間畫面需依</t>
    </r>
    <r>
      <rPr>
        <sz val="10"/>
        <rFont val="Calibri"/>
        <family val="2"/>
      </rPr>
      <t>HMI Spec</t>
    </r>
    <r>
      <rPr>
        <sz val="10"/>
        <rFont val="新細明體"/>
        <family val="1"/>
        <charset val="136"/>
      </rPr>
      <t>顯示等待訊息</t>
    </r>
    <phoneticPr fontId="4" type="noConversion"/>
  </si>
  <si>
    <r>
      <rPr>
        <sz val="10"/>
        <rFont val="新細明體"/>
        <family val="1"/>
        <charset val="136"/>
      </rPr>
      <t>全程狀態切換與</t>
    </r>
    <r>
      <rPr>
        <sz val="10"/>
        <rFont val="Calibri"/>
        <family val="2"/>
      </rPr>
      <t>UI</t>
    </r>
    <r>
      <rPr>
        <sz val="10"/>
        <rFont val="新細明體"/>
        <family val="1"/>
        <charset val="136"/>
      </rPr>
      <t>互動均須符合規格（包括</t>
    </r>
    <r>
      <rPr>
        <sz val="10"/>
        <rFont val="Calibri"/>
        <family val="2"/>
      </rPr>
      <t xml:space="preserve"> Blocked </t>
    </r>
    <r>
      <rPr>
        <sz val="10"/>
        <rFont val="新細明體"/>
        <family val="1"/>
        <charset val="136"/>
      </rPr>
      <t>狀態、</t>
    </r>
    <r>
      <rPr>
        <sz val="10"/>
        <rFont val="Calibri"/>
        <family val="2"/>
      </rPr>
      <t>UI</t>
    </r>
    <r>
      <rPr>
        <sz val="10"/>
        <rFont val="新細明體"/>
        <family val="1"/>
        <charset val="136"/>
      </rPr>
      <t>隱藏</t>
    </r>
    <r>
      <rPr>
        <sz val="10"/>
        <rFont val="Calibri"/>
        <family val="2"/>
      </rPr>
      <t>/</t>
    </r>
    <r>
      <rPr>
        <sz val="10"/>
        <rFont val="新細明體"/>
        <family val="1"/>
        <charset val="136"/>
      </rPr>
      <t>顯示切換）</t>
    </r>
    <phoneticPr fontId="4" type="noConversion"/>
  </si>
  <si>
    <r>
      <rPr>
        <sz val="10"/>
        <rFont val="新細明體"/>
        <family val="1"/>
        <charset val="136"/>
      </rPr>
      <t>若流程成功，且</t>
    </r>
    <r>
      <rPr>
        <sz val="10"/>
        <rFont val="Calibri"/>
        <family val="2"/>
      </rPr>
      <t>HU</t>
    </r>
    <r>
      <rPr>
        <sz val="10"/>
        <rFont val="新細明體"/>
        <family val="1"/>
        <charset val="136"/>
      </rPr>
      <t>必須進入</t>
    </r>
    <r>
      <rPr>
        <sz val="10"/>
        <rFont val="Calibri"/>
        <family val="2"/>
      </rPr>
      <t>Idle</t>
    </r>
    <r>
      <rPr>
        <sz val="10"/>
        <rFont val="新細明體"/>
        <family val="1"/>
        <charset val="136"/>
      </rPr>
      <t>狀態，則需跳出</t>
    </r>
    <r>
      <rPr>
        <sz val="10"/>
        <rFont val="Calibri"/>
        <family val="2"/>
      </rPr>
      <t>"Radio Enabled" popup</t>
    </r>
    <phoneticPr fontId="4" type="noConversion"/>
  </si>
  <si>
    <r>
      <t xml:space="preserve">"Radio Enabled" popup </t>
    </r>
    <r>
      <rPr>
        <sz val="10"/>
        <rFont val="新細明體"/>
        <family val="1"/>
        <charset val="136"/>
      </rPr>
      <t>需參考</t>
    </r>
    <r>
      <rPr>
        <sz val="10"/>
        <rFont val="Calibri"/>
        <family val="2"/>
      </rPr>
      <t>HU HMI document</t>
    </r>
    <r>
      <rPr>
        <sz val="10"/>
        <rFont val="新細明體"/>
        <family val="1"/>
        <charset val="136"/>
      </rPr>
      <t>的</t>
    </r>
    <r>
      <rPr>
        <sz val="10"/>
        <rFont val="Calibri"/>
        <family val="2"/>
      </rPr>
      <t>UI</t>
    </r>
    <r>
      <rPr>
        <sz val="10"/>
        <rFont val="新細明體"/>
        <family val="1"/>
        <charset val="136"/>
      </rPr>
      <t>設計</t>
    </r>
    <phoneticPr fontId="4" type="noConversion"/>
  </si>
  <si>
    <r>
      <t>HU</t>
    </r>
    <r>
      <rPr>
        <sz val="10"/>
        <rFont val="新細明體"/>
        <family val="1"/>
        <charset val="136"/>
      </rPr>
      <t>需切換至</t>
    </r>
    <r>
      <rPr>
        <sz val="10"/>
        <rFont val="Calibri"/>
        <family val="2"/>
      </rPr>
      <t>Idle</t>
    </r>
    <r>
      <rPr>
        <sz val="10"/>
        <rFont val="新細明體"/>
        <family val="1"/>
        <charset val="136"/>
      </rPr>
      <t>狀態</t>
    </r>
    <phoneticPr fontId="4" type="noConversion"/>
  </si>
  <si>
    <r>
      <t>HU</t>
    </r>
    <r>
      <rPr>
        <sz val="10"/>
        <rFont val="新細明體"/>
        <family val="1"/>
        <charset val="136"/>
      </rPr>
      <t>沒有安裝在車上、沒有接車用</t>
    </r>
    <r>
      <rPr>
        <sz val="10"/>
        <rFont val="Calibri"/>
        <family val="2"/>
      </rPr>
      <t>CAN</t>
    </r>
    <r>
      <rPr>
        <sz val="10"/>
        <rFont val="新細明體"/>
        <family val="1"/>
        <charset val="136"/>
      </rPr>
      <t>線時，直接在</t>
    </r>
    <r>
      <rPr>
        <sz val="10"/>
        <rFont val="Calibri"/>
        <family val="2"/>
      </rPr>
      <t>bench</t>
    </r>
    <r>
      <rPr>
        <sz val="10"/>
        <rFont val="新細明體"/>
        <family val="1"/>
        <charset val="136"/>
      </rPr>
      <t>上電，防盜功能必須自動關閉，主機不能進入防盜模式。</t>
    </r>
    <phoneticPr fontId="4" type="noConversion"/>
  </si>
  <si>
    <r>
      <rPr>
        <sz val="10"/>
        <rFont val="新細明體"/>
        <family val="1"/>
        <charset val="136"/>
      </rPr>
      <t>驗證主機進入</t>
    </r>
    <r>
      <rPr>
        <sz val="10"/>
        <rFont val="Calibri"/>
        <family val="2"/>
      </rPr>
      <t>Bench Mode</t>
    </r>
    <r>
      <rPr>
        <sz val="10"/>
        <rFont val="新細明體"/>
        <family val="1"/>
        <charset val="136"/>
      </rPr>
      <t>時，必須自動禁用防盜功能，並且能夠正常測試所有功能。</t>
    </r>
    <phoneticPr fontId="4" type="noConversion"/>
  </si>
  <si>
    <r>
      <t>SWE.5
Ignition ON</t>
    </r>
    <r>
      <rPr>
        <sz val="10"/>
        <rFont val="新細明體"/>
        <family val="1"/>
        <charset val="136"/>
      </rPr>
      <t>，且主機還沒有和車輛</t>
    </r>
    <r>
      <rPr>
        <sz val="10"/>
        <rFont val="Calibri"/>
        <family val="2"/>
      </rPr>
      <t>VIN</t>
    </r>
    <r>
      <rPr>
        <sz val="10"/>
        <rFont val="新細明體"/>
        <family val="1"/>
        <charset val="136"/>
      </rPr>
      <t>綁定（</t>
    </r>
    <r>
      <rPr>
        <sz val="10"/>
        <rFont val="Calibri"/>
        <family val="2"/>
      </rPr>
      <t>VinLockInfo = False</t>
    </r>
    <r>
      <rPr>
        <sz val="10"/>
        <rFont val="新細明體"/>
        <family val="1"/>
        <charset val="136"/>
      </rPr>
      <t>），防盜功能必須被繞過，主機不可以進入防盜模式。</t>
    </r>
    <phoneticPr fontId="4" type="noConversion"/>
  </si>
  <si>
    <r>
      <t>SWE.5
Engine ON</t>
    </r>
    <r>
      <rPr>
        <sz val="10"/>
        <rFont val="新細明體"/>
        <family val="1"/>
        <charset val="136"/>
      </rPr>
      <t>，且主機</t>
    </r>
    <r>
      <rPr>
        <sz val="10"/>
        <rFont val="Calibri"/>
        <family val="2"/>
      </rPr>
      <t>VinLockInfo = False</t>
    </r>
    <r>
      <rPr>
        <sz val="10"/>
        <rFont val="新細明體"/>
        <family val="1"/>
        <charset val="136"/>
      </rPr>
      <t>時，防盜功能一樣要被繞過，主機不能進入防盜模式。</t>
    </r>
    <phoneticPr fontId="4" type="noConversion"/>
  </si>
  <si>
    <r>
      <t>SWE.5
Ignition OFF</t>
    </r>
    <r>
      <rPr>
        <sz val="10"/>
        <rFont val="新細明體"/>
        <family val="1"/>
        <charset val="136"/>
      </rPr>
      <t>、</t>
    </r>
    <r>
      <rPr>
        <sz val="10"/>
        <rFont val="Calibri"/>
        <family val="2"/>
      </rPr>
      <t>VinLockInfo = False</t>
    </r>
    <r>
      <rPr>
        <sz val="10"/>
        <rFont val="新細明體"/>
        <family val="1"/>
        <charset val="136"/>
      </rPr>
      <t>狀態下，防盜機制也必須無效，主機不得進入防盜模式。</t>
    </r>
    <phoneticPr fontId="4" type="noConversion"/>
  </si>
  <si>
    <r>
      <rPr>
        <sz val="10"/>
        <rFont val="新細明體"/>
        <family val="1"/>
        <charset val="136"/>
      </rPr>
      <t>「繞過</t>
    </r>
    <r>
      <rPr>
        <sz val="10"/>
        <rFont val="Calibri"/>
        <family val="2"/>
      </rPr>
      <t>/</t>
    </r>
    <r>
      <rPr>
        <sz val="10"/>
        <rFont val="新細明體"/>
        <family val="1"/>
        <charset val="136"/>
      </rPr>
      <t>禁用防盜」的特殊情境，例如主機在</t>
    </r>
    <r>
      <rPr>
        <sz val="10"/>
        <rFont val="Calibri"/>
        <family val="2"/>
      </rPr>
      <t>Bench mode</t>
    </r>
    <r>
      <rPr>
        <sz val="10"/>
        <rFont val="新細明體"/>
        <family val="1"/>
        <charset val="136"/>
      </rPr>
      <t>、或是</t>
    </r>
    <r>
      <rPr>
        <sz val="10"/>
        <rFont val="Calibri"/>
        <family val="2"/>
      </rPr>
      <t>VIN not locked</t>
    </r>
    <r>
      <rPr>
        <sz val="10"/>
        <rFont val="新細明體"/>
        <family val="1"/>
        <charset val="136"/>
      </rPr>
      <t>，這時不論防盜訊號怎麼拉，主機都不能進入防盜模式，以免影響維修</t>
    </r>
    <r>
      <rPr>
        <sz val="10"/>
        <rFont val="Calibri"/>
        <family val="2"/>
      </rPr>
      <t>/</t>
    </r>
    <r>
      <rPr>
        <sz val="10"/>
        <rFont val="新細明體"/>
        <family val="1"/>
        <charset val="136"/>
      </rPr>
      <t>測試作業。</t>
    </r>
    <phoneticPr fontId="4" type="noConversion"/>
  </si>
  <si>
    <r>
      <rPr>
        <sz val="10"/>
        <rFont val="新細明體"/>
        <family val="1"/>
        <charset val="136"/>
      </rPr>
      <t>驗證正式安裝後的主機（已綁</t>
    </r>
    <r>
      <rPr>
        <sz val="10"/>
        <rFont val="Calibri"/>
        <family val="2"/>
      </rPr>
      <t>VIN</t>
    </r>
    <r>
      <rPr>
        <sz val="10"/>
        <rFont val="新細明體"/>
        <family val="1"/>
        <charset val="136"/>
      </rPr>
      <t>）還能夠有限次數進入</t>
    </r>
    <r>
      <rPr>
        <sz val="10"/>
        <rFont val="Calibri"/>
        <family val="2"/>
      </rPr>
      <t>Bench mode</t>
    </r>
    <r>
      <rPr>
        <sz val="10"/>
        <rFont val="新細明體"/>
        <family val="1"/>
        <charset val="136"/>
      </rPr>
      <t>，做工程測試但不會被防盜鎖住，而且超過次數之後，防盜要開始生效。</t>
    </r>
    <phoneticPr fontId="4" type="noConversion"/>
  </si>
  <si>
    <r>
      <t xml:space="preserve">SWE.5
</t>
    </r>
    <r>
      <rPr>
        <sz val="10"/>
        <rFont val="新細明體"/>
        <family val="1"/>
        <charset val="136"/>
      </rPr>
      <t>在收到</t>
    </r>
    <r>
      <rPr>
        <sz val="10"/>
        <rFont val="Calibri"/>
        <family val="2"/>
      </rPr>
      <t>SNA</t>
    </r>
    <r>
      <rPr>
        <sz val="10"/>
        <rFont val="新細明體"/>
        <family val="1"/>
        <charset val="136"/>
      </rPr>
      <t>訊號且</t>
    </r>
    <r>
      <rPr>
        <sz val="10"/>
        <rFont val="Calibri"/>
        <family val="2"/>
      </rPr>
      <t>Antitheft</t>
    </r>
    <r>
      <rPr>
        <sz val="10"/>
        <rFont val="新細明體"/>
        <family val="1"/>
        <charset val="136"/>
      </rPr>
      <t>啟動時，要中斷防盜功能，如果還在進行中。</t>
    </r>
    <phoneticPr fontId="4" type="noConversion"/>
  </si>
  <si>
    <r>
      <t>SWE.5
SNA</t>
    </r>
    <r>
      <rPr>
        <sz val="10"/>
        <rFont val="新細明體"/>
        <family val="1"/>
        <charset val="136"/>
      </rPr>
      <t>訊號出現且</t>
    </r>
    <r>
      <rPr>
        <sz val="10"/>
        <rFont val="Calibri"/>
        <family val="2"/>
      </rPr>
      <t>Antitheft</t>
    </r>
    <r>
      <rPr>
        <sz val="10"/>
        <rFont val="新細明體"/>
        <family val="1"/>
        <charset val="136"/>
      </rPr>
      <t>啟動時，</t>
    </r>
    <r>
      <rPr>
        <sz val="10"/>
        <rFont val="Calibri"/>
        <family val="2"/>
      </rPr>
      <t>Antitheft</t>
    </r>
    <r>
      <rPr>
        <sz val="10"/>
        <rFont val="新細明體"/>
        <family val="1"/>
        <charset val="136"/>
      </rPr>
      <t>狀態要設為</t>
    </r>
    <r>
      <rPr>
        <sz val="10"/>
        <rFont val="Calibri"/>
        <family val="2"/>
      </rPr>
      <t xml:space="preserve"> Not_Successfully</t>
    </r>
    <phoneticPr fontId="4" type="noConversion"/>
  </si>
  <si>
    <r>
      <t>SWE.5
AntiTheft procedure unsuccessful</t>
    </r>
    <r>
      <rPr>
        <sz val="10"/>
        <rFont val="新細明體"/>
        <family val="1"/>
        <charset val="136"/>
      </rPr>
      <t>，</t>
    </r>
    <r>
      <rPr>
        <sz val="10"/>
        <rFont val="Calibri"/>
        <family val="2"/>
      </rPr>
      <t>HU</t>
    </r>
    <r>
      <rPr>
        <sz val="10"/>
        <rFont val="新細明體"/>
        <family val="1"/>
        <charset val="136"/>
      </rPr>
      <t>必須維持在</t>
    </r>
    <r>
      <rPr>
        <sz val="10"/>
        <rFont val="Calibri"/>
        <family val="2"/>
      </rPr>
      <t>blocked state</t>
    </r>
    <phoneticPr fontId="4" type="noConversion"/>
  </si>
  <si>
    <r>
      <t xml:space="preserve">SWE.5
</t>
    </r>
    <r>
      <rPr>
        <sz val="10"/>
        <rFont val="新細明體"/>
        <family val="1"/>
        <charset val="136"/>
      </rPr>
      <t>驗證</t>
    </r>
    <r>
      <rPr>
        <sz val="10"/>
        <rFont val="Calibri"/>
        <family val="2"/>
      </rPr>
      <t>HU</t>
    </r>
    <r>
      <rPr>
        <sz val="10"/>
        <rFont val="新細明體"/>
        <family val="1"/>
        <charset val="136"/>
      </rPr>
      <t>和外部互動（如</t>
    </r>
    <r>
      <rPr>
        <sz val="10"/>
        <rFont val="Calibri"/>
        <family val="2"/>
      </rPr>
      <t>CAN</t>
    </r>
    <r>
      <rPr>
        <sz val="10"/>
        <rFont val="新細明體"/>
        <family val="1"/>
        <charset val="136"/>
      </rPr>
      <t>訊號、用戶操作、診斷工具）時，系統是否會真的持續被鎖住</t>
    </r>
    <phoneticPr fontId="4" type="noConversion"/>
  </si>
  <si>
    <r>
      <t xml:space="preserve">SWE.4
</t>
    </r>
    <r>
      <rPr>
        <sz val="10"/>
        <rFont val="新細明體"/>
        <family val="1"/>
        <charset val="136"/>
      </rPr>
      <t>驗證，當車機與整車系統（可能有多個</t>
    </r>
    <r>
      <rPr>
        <sz val="10"/>
        <rFont val="Calibri"/>
        <family val="2"/>
      </rPr>
      <t>ECU</t>
    </r>
    <r>
      <rPr>
        <sz val="10"/>
        <rFont val="新細明體"/>
        <family val="1"/>
        <charset val="136"/>
      </rPr>
      <t>、</t>
    </r>
    <r>
      <rPr>
        <sz val="10"/>
        <rFont val="Calibri"/>
        <family val="2"/>
      </rPr>
      <t>CAN</t>
    </r>
    <r>
      <rPr>
        <sz val="10"/>
        <rFont val="新細明體"/>
        <family val="1"/>
        <charset val="136"/>
      </rPr>
      <t>訊號來源）協同運作時，</t>
    </r>
    <r>
      <rPr>
        <sz val="10"/>
        <rFont val="Calibri"/>
        <family val="2"/>
      </rPr>
      <t>VIN</t>
    </r>
    <r>
      <rPr>
        <sz val="10"/>
        <rFont val="新細明體"/>
        <family val="1"/>
        <charset val="136"/>
      </rPr>
      <t>資料是否真的依序正確接收與驗證。</t>
    </r>
    <phoneticPr fontId="4" type="noConversion"/>
  </si>
  <si>
    <r>
      <t xml:space="preserve">SWE.4
</t>
    </r>
    <r>
      <rPr>
        <sz val="10"/>
        <rFont val="新細明體"/>
        <family val="1"/>
        <charset val="136"/>
      </rPr>
      <t>驗證當三段</t>
    </r>
    <r>
      <rPr>
        <sz val="10"/>
        <rFont val="Calibri"/>
        <family val="2"/>
      </rPr>
      <t>VIN</t>
    </r>
    <r>
      <rPr>
        <sz val="10"/>
        <rFont val="新細明體"/>
        <family val="1"/>
        <charset val="136"/>
      </rPr>
      <t>資料（</t>
    </r>
    <r>
      <rPr>
        <sz val="10"/>
        <rFont val="Calibri"/>
        <family val="2"/>
      </rPr>
      <t>LO</t>
    </r>
    <r>
      <rPr>
        <sz val="10"/>
        <rFont val="新細明體"/>
        <family val="1"/>
        <charset val="136"/>
      </rPr>
      <t>、</t>
    </r>
    <r>
      <rPr>
        <sz val="10"/>
        <rFont val="Calibri"/>
        <family val="2"/>
      </rPr>
      <t>MID</t>
    </r>
    <r>
      <rPr>
        <sz val="10"/>
        <rFont val="新細明體"/>
        <family val="1"/>
        <charset val="136"/>
      </rPr>
      <t>、</t>
    </r>
    <r>
      <rPr>
        <sz val="10"/>
        <rFont val="Calibri"/>
        <family val="2"/>
      </rPr>
      <t>HI</t>
    </r>
    <r>
      <rPr>
        <sz val="10"/>
        <rFont val="新細明體"/>
        <family val="1"/>
        <charset val="136"/>
      </rPr>
      <t>）經由</t>
    </r>
    <r>
      <rPr>
        <sz val="10"/>
        <rFont val="Calibri"/>
        <family val="2"/>
      </rPr>
      <t>CAN</t>
    </r>
    <r>
      <rPr>
        <sz val="10"/>
        <rFont val="新細明體"/>
        <family val="1"/>
        <charset val="136"/>
      </rPr>
      <t>通訊依正確順序傳送至主機時，主機能夠正確接收並驗證，且只有正確順序才會被接受，否則系統將重新等待新一輪資料。</t>
    </r>
    <phoneticPr fontId="4" type="noConversion"/>
  </si>
  <si>
    <r>
      <t xml:space="preserve">SWE.4
</t>
    </r>
    <r>
      <rPr>
        <sz val="10"/>
        <rFont val="新細明體"/>
        <family val="1"/>
        <charset val="136"/>
      </rPr>
      <t>驗證當</t>
    </r>
    <r>
      <rPr>
        <sz val="10"/>
        <rFont val="Calibri"/>
        <family val="2"/>
      </rPr>
      <t>VIN</t>
    </r>
    <r>
      <rPr>
        <sz val="10"/>
        <rFont val="新細明體"/>
        <family val="1"/>
        <charset val="136"/>
      </rPr>
      <t>資料順序傳送錯誤時，主機會丟棄所有已收到的</t>
    </r>
    <r>
      <rPr>
        <sz val="10"/>
        <rFont val="Calibri"/>
        <family val="2"/>
      </rPr>
      <t>VIN</t>
    </r>
    <r>
      <rPr>
        <sz val="10"/>
        <rFont val="新細明體"/>
        <family val="1"/>
        <charset val="136"/>
      </rPr>
      <t>資料，並重新開始等待從頭收到正確順序的</t>
    </r>
    <r>
      <rPr>
        <sz val="10"/>
        <rFont val="Calibri"/>
        <family val="2"/>
      </rPr>
      <t>VIN</t>
    </r>
    <r>
      <rPr>
        <sz val="10"/>
        <rFont val="新細明體"/>
        <family val="1"/>
        <charset val="136"/>
      </rPr>
      <t>資料。</t>
    </r>
    <phoneticPr fontId="4" type="noConversion"/>
  </si>
  <si>
    <r>
      <t xml:space="preserve">SWE.4
</t>
    </r>
    <r>
      <rPr>
        <sz val="10"/>
        <rFont val="新細明體"/>
        <family val="1"/>
        <charset val="136"/>
      </rPr>
      <t>驗證當收到的任何一段</t>
    </r>
    <r>
      <rPr>
        <sz val="10"/>
        <rFont val="Calibri"/>
        <family val="2"/>
      </rPr>
      <t>VIN</t>
    </r>
    <r>
      <rPr>
        <sz val="10"/>
        <rFont val="新細明體"/>
        <family val="1"/>
        <charset val="136"/>
      </rPr>
      <t>資料內容為</t>
    </r>
    <r>
      <rPr>
        <sz val="10"/>
        <rFont val="Calibri"/>
        <family val="2"/>
      </rPr>
      <t xml:space="preserve"> "SNA"</t>
    </r>
    <r>
      <rPr>
        <sz val="10"/>
        <rFont val="新細明體"/>
        <family val="1"/>
        <charset val="136"/>
      </rPr>
      <t>（代表異常或無效），主機會丟棄所有已收到的</t>
    </r>
    <r>
      <rPr>
        <sz val="10"/>
        <rFont val="Calibri"/>
        <family val="2"/>
      </rPr>
      <t>VIN</t>
    </r>
    <r>
      <rPr>
        <sz val="10"/>
        <rFont val="新細明體"/>
        <family val="1"/>
        <charset val="136"/>
      </rPr>
      <t>資料，並重新開始等待新的</t>
    </r>
    <r>
      <rPr>
        <sz val="10"/>
        <rFont val="Calibri"/>
        <family val="2"/>
      </rPr>
      <t>VIN</t>
    </r>
    <r>
      <rPr>
        <sz val="10"/>
        <rFont val="新細明體"/>
        <family val="1"/>
        <charset val="136"/>
      </rPr>
      <t>資料從</t>
    </r>
    <r>
      <rPr>
        <sz val="10"/>
        <rFont val="Calibri"/>
        <family val="2"/>
      </rPr>
      <t>LO</t>
    </r>
    <r>
      <rPr>
        <sz val="10"/>
        <rFont val="新細明體"/>
        <family val="1"/>
        <charset val="136"/>
      </rPr>
      <t>開始。</t>
    </r>
    <phoneticPr fontId="4" type="noConversion"/>
  </si>
  <si>
    <r>
      <t xml:space="preserve">SWE.4
</t>
    </r>
    <r>
      <rPr>
        <sz val="10"/>
        <rFont val="新細明體"/>
        <family val="1"/>
        <charset val="136"/>
      </rPr>
      <t>驗證當三段資料都依順序傳送，但最後組成的完整</t>
    </r>
    <r>
      <rPr>
        <sz val="10"/>
        <rFont val="Calibri"/>
        <family val="2"/>
      </rPr>
      <t>VIN</t>
    </r>
    <r>
      <rPr>
        <sz val="10"/>
        <rFont val="新細明體"/>
        <family val="1"/>
        <charset val="136"/>
      </rPr>
      <t>不符合規範（如長度錯誤、格式錯誤、檢查碼不符等），主機會丟棄所有</t>
    </r>
    <r>
      <rPr>
        <sz val="10"/>
        <rFont val="Calibri"/>
        <family val="2"/>
      </rPr>
      <t>VIN</t>
    </r>
    <r>
      <rPr>
        <sz val="10"/>
        <rFont val="新細明體"/>
        <family val="1"/>
        <charset val="136"/>
      </rPr>
      <t>資料並重置，重新等待新的</t>
    </r>
    <r>
      <rPr>
        <sz val="10"/>
        <rFont val="Calibri"/>
        <family val="2"/>
      </rPr>
      <t>VIN</t>
    </r>
    <r>
      <rPr>
        <sz val="10"/>
        <rFont val="新細明體"/>
        <family val="1"/>
        <charset val="136"/>
      </rPr>
      <t>資料從頭開始。</t>
    </r>
    <phoneticPr fontId="4" type="noConversion"/>
  </si>
  <si>
    <r>
      <t xml:space="preserve">SWE.5
</t>
    </r>
    <r>
      <rPr>
        <sz val="10"/>
        <rFont val="新細明體"/>
        <family val="1"/>
        <charset val="136"/>
      </rPr>
      <t>驗證整車系統在未收到完整有效</t>
    </r>
    <r>
      <rPr>
        <sz val="10"/>
        <rFont val="Calibri"/>
        <family val="2"/>
      </rPr>
      <t>VIN</t>
    </r>
    <r>
      <rPr>
        <sz val="10"/>
        <rFont val="新細明體"/>
        <family val="1"/>
        <charset val="136"/>
      </rPr>
      <t>且超過等待時間時，</t>
    </r>
    <r>
      <rPr>
        <sz val="10"/>
        <rFont val="Calibri"/>
        <family val="2"/>
      </rPr>
      <t>HU</t>
    </r>
    <r>
      <rPr>
        <sz val="10"/>
        <rFont val="新細明體"/>
        <family val="1"/>
        <charset val="136"/>
      </rPr>
      <t>會正確啟動重試計時，且</t>
    </r>
    <r>
      <rPr>
        <sz val="10"/>
        <rFont val="Calibri"/>
        <family val="2"/>
      </rPr>
      <t>UI/</t>
    </r>
    <r>
      <rPr>
        <sz val="10"/>
        <rFont val="新細明體"/>
        <family val="1"/>
        <charset val="136"/>
      </rPr>
      <t>診斷工具同步顯示等待</t>
    </r>
    <r>
      <rPr>
        <sz val="10"/>
        <rFont val="Calibri"/>
        <family val="2"/>
      </rPr>
      <t>/</t>
    </r>
    <r>
      <rPr>
        <sz val="10"/>
        <rFont val="新細明體"/>
        <family val="1"/>
        <charset val="136"/>
      </rPr>
      <t>錯誤狀態。
確認</t>
    </r>
    <r>
      <rPr>
        <sz val="10"/>
        <rFont val="Calibri"/>
        <family val="2"/>
      </rPr>
      <t xml:space="preserve"> AwaitingVINTimer </t>
    </r>
    <r>
      <rPr>
        <sz val="10"/>
        <rFont val="新細明體"/>
        <family val="1"/>
        <charset val="136"/>
      </rPr>
      <t>是否正確啟動（</t>
    </r>
    <r>
      <rPr>
        <sz val="10"/>
        <rFont val="Calibri"/>
        <family val="2"/>
      </rPr>
      <t xml:space="preserve">log </t>
    </r>
    <r>
      <rPr>
        <sz val="10"/>
        <rFont val="新細明體"/>
        <family val="1"/>
        <charset val="136"/>
      </rPr>
      <t>或</t>
    </r>
    <r>
      <rPr>
        <sz val="10"/>
        <rFont val="Calibri"/>
        <family val="2"/>
      </rPr>
      <t xml:space="preserve"> UI </t>
    </r>
    <r>
      <rPr>
        <sz val="10"/>
        <rFont val="新細明體"/>
        <family val="1"/>
        <charset val="136"/>
      </rPr>
      <t>查驗）</t>
    </r>
    <phoneticPr fontId="4" type="noConversion"/>
  </si>
  <si>
    <r>
      <t xml:space="preserve">SWE.5
</t>
    </r>
    <r>
      <rPr>
        <sz val="10"/>
        <rFont val="新細明體"/>
        <family val="1"/>
        <charset val="136"/>
      </rPr>
      <t>驗證</t>
    </r>
    <r>
      <rPr>
        <sz val="10"/>
        <rFont val="Calibri"/>
        <family val="2"/>
      </rPr>
      <t xml:space="preserve"> AwaitingVINTimer </t>
    </r>
    <r>
      <rPr>
        <sz val="10"/>
        <rFont val="新細明體"/>
        <family val="1"/>
        <charset val="136"/>
      </rPr>
      <t>狀態下</t>
    </r>
    <r>
      <rPr>
        <sz val="10"/>
        <rFont val="Calibri"/>
        <family val="2"/>
      </rPr>
      <t xml:space="preserve"> UI </t>
    </r>
    <r>
      <rPr>
        <sz val="10"/>
        <rFont val="新細明體"/>
        <family val="1"/>
        <charset val="136"/>
      </rPr>
      <t>的顯示狀況</t>
    </r>
    <phoneticPr fontId="4" type="noConversion"/>
  </si>
  <si>
    <r>
      <rPr>
        <sz val="10"/>
        <rFont val="新細明體"/>
        <family val="1"/>
        <charset val="136"/>
      </rPr>
      <t>當</t>
    </r>
    <r>
      <rPr>
        <sz val="10"/>
        <rFont val="Calibri"/>
        <family val="2"/>
      </rPr>
      <t>AwaitingVINTimer</t>
    </r>
    <r>
      <rPr>
        <sz val="10"/>
        <rFont val="新細明體"/>
        <family val="1"/>
        <charset val="136"/>
      </rPr>
      <t>到期且沒有收到正確的</t>
    </r>
    <r>
      <rPr>
        <sz val="10"/>
        <rFont val="Calibri"/>
        <family val="2"/>
      </rPr>
      <t>VIN</t>
    </r>
    <r>
      <rPr>
        <sz val="10"/>
        <rFont val="新細明體"/>
        <family val="1"/>
        <charset val="136"/>
      </rPr>
      <t>時，</t>
    </r>
    <r>
      <rPr>
        <sz val="10"/>
        <rFont val="Calibri"/>
        <family val="2"/>
      </rPr>
      <t>HU</t>
    </r>
    <r>
      <rPr>
        <sz val="10"/>
        <rFont val="新細明體"/>
        <family val="1"/>
        <charset val="136"/>
      </rPr>
      <t>要顯示錯誤畫面，要求使用者</t>
    </r>
    <r>
      <rPr>
        <sz val="10"/>
        <rFont val="Calibri"/>
        <family val="2"/>
      </rPr>
      <t>restart the vehicle</t>
    </r>
    <r>
      <rPr>
        <sz val="10"/>
        <rFont val="新細明體"/>
        <family val="1"/>
        <charset val="136"/>
      </rPr>
      <t>以恢復全部功能。
這個畫面會取代原本</t>
    </r>
    <r>
      <rPr>
        <sz val="10"/>
        <rFont val="Calibri"/>
        <family val="2"/>
      </rPr>
      <t>splashscreen</t>
    </r>
    <r>
      <rPr>
        <sz val="10"/>
        <rFont val="新細明體"/>
        <family val="1"/>
        <charset val="136"/>
      </rPr>
      <t>，直到用戶真的重啟車輛。</t>
    </r>
    <phoneticPr fontId="4" type="noConversion"/>
  </si>
  <si>
    <r>
      <rPr>
        <sz val="10"/>
        <rFont val="新細明體"/>
        <family val="1"/>
        <charset val="136"/>
      </rPr>
      <t>此錯誤畫面要完全符合</t>
    </r>
    <r>
      <rPr>
        <sz val="10"/>
        <rFont val="Calibri"/>
        <family val="2"/>
      </rPr>
      <t>HMI</t>
    </r>
    <r>
      <rPr>
        <sz val="10"/>
        <rFont val="新細明體"/>
        <family val="1"/>
        <charset val="136"/>
      </rPr>
      <t>設計規範：包含版面配置、圖標、字體、文字、按鈕、背景、觸控區等都要一致。
在</t>
    </r>
    <r>
      <rPr>
        <sz val="10"/>
        <rFont val="Calibri"/>
        <family val="2"/>
      </rPr>
      <t>TLM</t>
    </r>
    <r>
      <rPr>
        <sz val="10"/>
        <rFont val="新細明體"/>
        <family val="1"/>
        <charset val="136"/>
      </rPr>
      <t>也要有相同的</t>
    </r>
    <r>
      <rPr>
        <sz val="10"/>
        <rFont val="Calibri"/>
        <family val="2"/>
      </rPr>
      <t>restart</t>
    </r>
    <r>
      <rPr>
        <sz val="10"/>
        <rFont val="新細明體"/>
        <family val="1"/>
        <charset val="136"/>
      </rPr>
      <t>提示畫面。</t>
    </r>
    <phoneticPr fontId="4" type="noConversion"/>
  </si>
  <si>
    <r>
      <rPr>
        <sz val="10"/>
        <color rgb="FF000000"/>
        <rFont val="Times New Roman"/>
        <family val="1"/>
      </rPr>
      <t>缺少明確的內容和標準</t>
    </r>
  </si>
  <si>
    <r>
      <t xml:space="preserve">FM-WI-FSM-036-A01 STLA </t>
    </r>
    <r>
      <rPr>
        <sz val="12"/>
        <color theme="1"/>
        <rFont val="微軟正黑體"/>
        <family val="1"/>
        <charset val="136"/>
      </rPr>
      <t>測試用例規範與結果</t>
    </r>
    <r>
      <rPr>
        <sz val="12"/>
        <color theme="1"/>
        <rFont val="Times New Roman"/>
        <family val="1"/>
      </rPr>
      <t>_SWQT STLA Test Case Specification &amp; Result_SWQT_CFTS016_AntiTheft.xls</t>
    </r>
    <phoneticPr fontId="4" type="noConversion"/>
  </si>
  <si>
    <t>V1.0</t>
    <phoneticPr fontId="4" type="noConversion"/>
  </si>
  <si>
    <t>Confidential</t>
  </si>
  <si>
    <r>
      <t xml:space="preserve">Initial Release </t>
    </r>
    <r>
      <rPr>
        <sz val="12"/>
        <color theme="1"/>
        <rFont val="Microsoft JhengHei"/>
        <family val="1"/>
      </rPr>
      <t>初版發布</t>
    </r>
    <phoneticPr fontId="4" type="noConversion"/>
  </si>
  <si>
    <r>
      <t xml:space="preserve">PeiPYHsu </t>
    </r>
    <r>
      <rPr>
        <sz val="12"/>
        <color theme="1"/>
        <rFont val="細明體"/>
        <family val="1"/>
        <charset val="136"/>
      </rPr>
      <t>許珮瑜</t>
    </r>
    <phoneticPr fontId="4" type="noConversion"/>
  </si>
  <si>
    <r>
      <t>1. Battery ON</t>
    </r>
    <r>
      <rPr>
        <sz val="10"/>
        <color theme="1"/>
        <rFont val="細明體"/>
        <family val="2"/>
        <charset val="136"/>
      </rPr>
      <t>，</t>
    </r>
    <r>
      <rPr>
        <sz val="10"/>
        <color theme="1"/>
        <rFont val="Calibri"/>
        <family val="2"/>
      </rPr>
      <t>Ignition state = ON.
2. VIN number mismatch with radio.</t>
    </r>
    <phoneticPr fontId="4" type="noConversion"/>
  </si>
  <si>
    <t>newR1L-AntiTheft-003</t>
    <phoneticPr fontId="4" type="noConversion"/>
  </si>
  <si>
    <t>newR1L-AntiTheft-004</t>
    <phoneticPr fontId="4" type="noConversion"/>
  </si>
  <si>
    <t>newR1L-AntiTheft-005</t>
    <phoneticPr fontId="4" type="noConversion"/>
  </si>
  <si>
    <t>newR1L-AntiTheft-007</t>
    <phoneticPr fontId="4" type="noConversion"/>
  </si>
  <si>
    <t>1. Verify the screen.</t>
    <phoneticPr fontId="4" type="noConversion"/>
  </si>
  <si>
    <r>
      <t>1. Battery ON</t>
    </r>
    <r>
      <rPr>
        <sz val="10"/>
        <color rgb="FFFF0000"/>
        <rFont val="細明體"/>
        <family val="2"/>
        <charset val="136"/>
      </rPr>
      <t>，</t>
    </r>
    <r>
      <rPr>
        <sz val="10"/>
        <color rgb="FFFF0000"/>
        <rFont val="Calibri"/>
        <family val="2"/>
      </rPr>
      <t>Ignition state = ON.
2. VIN number mismatch with radio.</t>
    </r>
    <phoneticPr fontId="4" type="noConversion"/>
  </si>
  <si>
    <r>
      <t xml:space="preserve">Requirement or Design
ID (Polarion)
</t>
    </r>
    <r>
      <rPr>
        <sz val="10"/>
        <color theme="1"/>
        <rFont val="新細明體"/>
        <family val="1"/>
        <charset val="136"/>
      </rPr>
      <t>設計</t>
    </r>
    <r>
      <rPr>
        <sz val="10"/>
        <color theme="1"/>
        <rFont val="Calibri"/>
        <family val="2"/>
      </rPr>
      <t>/</t>
    </r>
    <r>
      <rPr>
        <sz val="10"/>
        <color theme="1"/>
        <rFont val="新細明體"/>
        <family val="1"/>
        <charset val="136"/>
      </rPr>
      <t>需求</t>
    </r>
    <r>
      <rPr>
        <sz val="10"/>
        <color theme="1"/>
        <rFont val="Calibri"/>
        <family val="2"/>
      </rPr>
      <t xml:space="preserve"> ID (Polarion)</t>
    </r>
    <phoneticPr fontId="4" type="noConversion"/>
  </si>
  <si>
    <r>
      <t xml:space="preserve">Test Case ID (TestRail)
</t>
    </r>
    <r>
      <rPr>
        <sz val="10"/>
        <color theme="1"/>
        <rFont val="新細明體"/>
        <family val="1"/>
        <charset val="136"/>
      </rPr>
      <t>測試用例</t>
    </r>
    <r>
      <rPr>
        <sz val="10"/>
        <color theme="1"/>
        <rFont val="Calibri"/>
        <family val="2"/>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</si>
  <si>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</si>
  <si>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Derived From Melco
</t>
    </r>
    <r>
      <rPr>
        <sz val="10"/>
        <color theme="1"/>
        <rFont val="新細明體"/>
        <family val="1"/>
        <charset val="136"/>
      </rPr>
      <t>引用自</t>
    </r>
    <r>
      <rPr>
        <sz val="10"/>
        <color theme="1"/>
        <rFont val="Calibri"/>
        <family val="2"/>
      </rPr>
      <t>Melco</t>
    </r>
    <phoneticPr fontId="4" type="noConversion"/>
  </si>
  <si>
    <r>
      <t xml:space="preserve">Test Case Priority
</t>
    </r>
    <r>
      <rPr>
        <sz val="10"/>
        <color theme="1"/>
        <rFont val="新細明體"/>
        <family val="1"/>
        <charset val="136"/>
      </rPr>
      <t>測試用例優先級別</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</si>
  <si>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</si>
  <si>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Calibri"/>
        <family val="2"/>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</si>
  <si>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</si>
  <si>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</si>
  <si>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Calibri"/>
        <family val="2"/>
      </rPr>
      <t>ID</t>
    </r>
    <phoneticPr fontId="4" type="noConversion"/>
  </si>
  <si>
    <r>
      <t xml:space="preserve">No.#
</t>
    </r>
    <r>
      <rPr>
        <sz val="10"/>
        <color theme="1"/>
        <rFont val="新細明體"/>
        <family val="1"/>
        <charset val="136"/>
      </rPr>
      <t>序號</t>
    </r>
    <phoneticPr fontId="4" type="noConversion"/>
  </si>
  <si>
    <t>1. Enter Anti-Theft mode (VIN mismatch).
2. Tap “Climate”.
3. Tap “Controls”.
4. Tap “Settings”.</t>
    <phoneticPr fontId="4" type="noConversion"/>
  </si>
  <si>
    <t>1. Enters Anti-Theft UI; main menu icons except Comfort/Vehicle/App are greyed out.
2. Climate screen opens normally.
3. Controls screen opens normally.
4. Settings screen opens normally.</t>
    <phoneticPr fontId="4" type="noConversion"/>
  </si>
  <si>
    <t>Refer to TLM HMI document for details about TLM full setup menu.
Verify Accessible Screens (Climate, Controls, Settings) During Anti-Theft Mode</t>
    <phoneticPr fontId="4" type="noConversion"/>
  </si>
  <si>
    <t>Refer to TLM HMI document for details about TLM full setup menu. 
Verify Restricted Icons and Warning Popup Behavior</t>
    <phoneticPr fontId="4" type="noConversion"/>
  </si>
  <si>
    <t>1. Popup “Incorrect Code – Please Wait XX Minutes” appears.
2. Returns to App Drawer screen, showing the last viewed tab.
3. Only Comfort or Vehicle category icons are active; others remain greyed out.</t>
    <phoneticPr fontId="4" type="noConversion"/>
  </si>
  <si>
    <t>Refer to TLM HMI document for details about TLM full setup menu. 
Verify Vehicle Category Tabs Availability and Status</t>
    <phoneticPr fontId="4" type="noConversion"/>
  </si>
  <si>
    <t>1. Enter Anti-Theft mode (VIN mismatch), tap a greyed-out icon (e.g., Media or Navigation).
2. Press “OK” on the popup.
3. Observe available icons within App Drawer.</t>
    <phoneticPr fontId="4" type="noConversion"/>
  </si>
  <si>
    <t>1. Enter Anti-Theft mode (VIN mismatch) and open Vehicle category.
2. Observe available tabs within Vehicle category.
3. Tap a greyed-out tab.</t>
    <phoneticPr fontId="4" type="noConversion"/>
  </si>
  <si>
    <t>1. Vehicle category opens successfully.
2. Only “Settings” and “Controls” tabs are active; other Vehicle tabs are greyed out.
3. Popup “Incorrect Code – Please Wait XX Minutes” appears.</t>
    <phoneticPr fontId="4" type="noConversion"/>
  </si>
  <si>
    <r>
      <t xml:space="preserve">Refer to TLM HMI document for details about TLM full setup menu. 
</t>
    </r>
    <r>
      <rPr>
        <sz val="10"/>
        <color rgb="FF0432FF"/>
        <rFont val="Calibri"/>
        <family val="2"/>
      </rPr>
      <t>Verify Menu Visual Recovery After Correct Code Entry</t>
    </r>
    <phoneticPr fontId="4" type="noConversion"/>
  </si>
  <si>
    <t>1. Enter correct Anti-Theft code to exit Anti-Theft mode.
2. Observe main menu icons.</t>
    <phoneticPr fontId="4" type="noConversion"/>
  </si>
  <si>
    <t>1. System transitions to normal operation mode.
2. All icons are active and accessible.</t>
    <phoneticPr fontId="4" type="noConversion"/>
  </si>
  <si>
    <t>UI Behavior</t>
    <phoneticPr fontId="13" type="noConversion"/>
  </si>
  <si>
    <t>P0</t>
  </si>
  <si>
    <t>Setup
Menu</t>
    <phoneticPr fontId="13" type="noConversion"/>
  </si>
  <si>
    <r>
      <t>1. Battery ON</t>
    </r>
    <r>
      <rPr>
        <sz val="10"/>
        <color theme="1"/>
        <rFont val="細明體"/>
        <family val="2"/>
        <charset val="136"/>
      </rPr>
      <t>，</t>
    </r>
    <r>
      <rPr>
        <sz val="10"/>
        <color theme="1"/>
        <rFont val="Calibri"/>
        <family val="2"/>
      </rPr>
      <t>Ignition state = Off.
2. VIN number mismatch with radio.</t>
    </r>
    <phoneticPr fontId="4" type="noConversion"/>
  </si>
  <si>
    <r>
      <t>1. Battery ON</t>
    </r>
    <r>
      <rPr>
        <sz val="10"/>
        <color theme="1"/>
        <rFont val="細明體"/>
        <family val="2"/>
        <charset val="136"/>
      </rPr>
      <t>，</t>
    </r>
    <r>
      <rPr>
        <sz val="10"/>
        <color theme="1"/>
        <rFont val="Calibri"/>
        <family val="2"/>
      </rPr>
      <t>Ignition state = Pre_Off.
2. VIN number mismatch with radio.</t>
    </r>
    <phoneticPr fontId="4" type="noConversion"/>
  </si>
  <si>
    <t>1. Verify the screen is active..
2. Tap on all available touch areas.</t>
    <phoneticPr fontId="4" type="noConversion"/>
  </si>
  <si>
    <t>1. The screen shall display the TLM-only setup menu under given Ignition conditions
2. Touch shall respond properly within the menu area</t>
    <phoneticPr fontId="4" type="noConversion"/>
  </si>
  <si>
    <t>TLM-only setup menu, IF the Ignition Working Condition is equal to "Ignition_Off".</t>
    <phoneticPr fontId="4" type="noConversion"/>
  </si>
  <si>
    <t xml:space="preserve">TLM-only setup menu, IF the Ignition Working Condition is equal to "Ignition_Pre_Off".  </t>
    <phoneticPr fontId="4" type="noConversion"/>
  </si>
  <si>
    <r>
      <t xml:space="preserve">TLM-only setup menu, IF the Ignition Working Condition is equal to "Ignition_Pre_Off" OR "Ignition_Off";  </t>
    </r>
    <r>
      <rPr>
        <sz val="10"/>
        <color rgb="FFFF0000"/>
        <rFont val="Microsoft JhengHei"/>
        <family val="2"/>
      </rPr>
      <t>沒拆解</t>
    </r>
    <phoneticPr fontId="4" type="noConversion"/>
  </si>
  <si>
    <r>
      <t xml:space="preserve">Refer to TLM HMI document for details about TLM full setup menu. </t>
    </r>
    <r>
      <rPr>
        <sz val="10"/>
        <color rgb="FFFF0000"/>
        <rFont val="Microsoft JhengHei"/>
        <family val="2"/>
      </rPr>
      <t>沒按</t>
    </r>
    <r>
      <rPr>
        <sz val="10"/>
        <color rgb="FFFF0000"/>
        <rFont val="Calibri"/>
        <family val="2"/>
      </rPr>
      <t>AT5</t>
    </r>
    <r>
      <rPr>
        <sz val="10"/>
        <color rgb="FFFF0000"/>
        <rFont val="Microsoft JhengHei"/>
        <family val="2"/>
      </rPr>
      <t>內容設計測項</t>
    </r>
    <phoneticPr fontId="4" type="noConversion"/>
  </si>
  <si>
    <t>1. The screen shall display the TLM full setup menu under given Ignition conditions
2. Touch shall respond properly within the menu area</t>
    <phoneticPr fontId="4" type="noConversion"/>
  </si>
  <si>
    <t>1. The screen shall displayTLM full setup menu under given Ignition conditions
2. Touch shall respond properly within the menu area.</t>
    <phoneticPr fontId="4" type="noConversion"/>
  </si>
  <si>
    <r>
      <t xml:space="preserve">Refer to TLM HMI document for details about the TLM-only setup menu.
</t>
    </r>
    <r>
      <rPr>
        <sz val="10"/>
        <color rgb="FFFF0000"/>
        <rFont val="細明體"/>
        <family val="2"/>
        <charset val="136"/>
      </rPr>
      <t>找</t>
    </r>
    <r>
      <rPr>
        <sz val="10"/>
        <color rgb="FFFF0000"/>
        <rFont val="Calibri"/>
        <family val="2"/>
      </rPr>
      <t>RD</t>
    </r>
    <r>
      <rPr>
        <sz val="10"/>
        <color rgb="FFFF0000"/>
        <rFont val="細明體"/>
        <family val="2"/>
        <charset val="136"/>
      </rPr>
      <t>問清楚</t>
    </r>
    <r>
      <rPr>
        <sz val="10"/>
        <color rgb="FFFF0000"/>
        <rFont val="Calibri"/>
        <family val="2"/>
      </rPr>
      <t xml:space="preserve"> Full / Only setup menu</t>
    </r>
    <r>
      <rPr>
        <sz val="10"/>
        <color rgb="FFFF0000"/>
        <rFont val="細明體"/>
        <family val="2"/>
        <charset val="136"/>
      </rPr>
      <t xml:space="preserve">
</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</si>
</sst>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86">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0"/>
      <color rgb="FF000000"/>
      <name val="新細明體"/>
      <family val="1"/>
      <charset val="136"/>
    </font>
    <font>
      <b/>
      <sz val="10"/>
      <color theme="0"/>
      <name val="新細明體"/>
      <family val="1"/>
      <charset val="136"/>
    </font>
    <font>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2"/>
      <color rgb="FF000000"/>
      <name val="新細明體"/>
      <family val="1"/>
      <charset val="136"/>
    </font>
    <font>
      <sz val="10"/>
      <color rgb="FF000000"/>
      <name val="Times New Roman"/>
      <family val="1"/>
    </font>
    <font>
      <sz val="10"/>
      <name val="新細明體"/>
      <family val="1"/>
      <charset val="136"/>
    </font>
    <font>
      <sz val="10"/>
      <name val="Microsoft JhengHei"/>
      <family val="1"/>
    </font>
    <font>
      <sz val="12"/>
      <name val="Calibri"/>
      <family val="2"/>
    </font>
    <font>
      <sz val="12"/>
      <color theme="1"/>
      <name val="微軟正黑體"/>
      <family val="1"/>
      <charset val="136"/>
    </font>
    <font>
      <sz val="16"/>
      <name val="Calibri"/>
      <family val="2"/>
    </font>
    <font>
      <sz val="10"/>
      <name val="Calibri"/>
      <family val="2"/>
    </font>
    <font>
      <sz val="10"/>
      <color theme="1"/>
      <name val="Calibri"/>
      <family val="2"/>
    </font>
    <font>
      <sz val="10"/>
      <color rgb="FF0070C0"/>
      <name val="Calibri"/>
      <family val="2"/>
    </font>
    <font>
      <sz val="10"/>
      <color indexed="8"/>
      <name val="Calibri"/>
      <family val="2"/>
    </font>
    <font>
      <b/>
      <sz val="10"/>
      <color theme="0"/>
      <name val="Calibri"/>
      <family val="2"/>
    </font>
    <font>
      <b/>
      <sz val="10"/>
      <color theme="1"/>
      <name val="Calibri"/>
      <family val="2"/>
    </font>
    <font>
      <b/>
      <sz val="10"/>
      <color rgb="FFFF0000"/>
      <name val="Calibri"/>
      <family val="2"/>
    </font>
    <font>
      <sz val="10"/>
      <color rgb="FF000000"/>
      <name val="Calibri"/>
      <family val="2"/>
    </font>
    <font>
      <sz val="10"/>
      <color rgb="FF1F2937"/>
      <name val="Calibri"/>
      <family val="2"/>
    </font>
    <font>
      <sz val="12"/>
      <color theme="1"/>
      <name val="Microsoft JhengHei"/>
      <family val="1"/>
    </font>
    <font>
      <sz val="12"/>
      <color theme="1"/>
      <name val="細明體"/>
      <family val="1"/>
      <charset val="136"/>
    </font>
    <font>
      <sz val="10"/>
      <color theme="1"/>
      <name val="細明體"/>
      <family val="2"/>
      <charset val="136"/>
    </font>
    <font>
      <sz val="10"/>
      <color rgb="FFFF0000"/>
      <name val="Calibri"/>
      <family val="2"/>
    </font>
    <font>
      <sz val="10"/>
      <color rgb="FFFF0000"/>
      <name val="細明體"/>
      <family val="2"/>
      <charset val="136"/>
    </font>
    <font>
      <strike/>
      <sz val="10"/>
      <color rgb="FFFF0000"/>
      <name val="Calibri"/>
      <family val="2"/>
    </font>
    <font>
      <sz val="10"/>
      <color rgb="FF0432FF"/>
      <name val="Calibri"/>
      <family val="2"/>
    </font>
    <font>
      <sz val="10"/>
      <color rgb="FFFF0000"/>
      <name val="Microsoft JhengHei"/>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0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vertical="center" wrapText="1"/>
    </xf>
    <xf numFmtId="0" fontId="40" fillId="0" borderId="2"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48" fillId="0" borderId="0" xfId="18" applyFont="1">
      <alignment vertical="center"/>
    </xf>
    <xf numFmtId="0" fontId="60" fillId="0" borderId="0" xfId="12" applyFont="1" applyAlignment="1">
      <alignment horizontal="center" vertical="center" wrapText="1"/>
    </xf>
    <xf numFmtId="0" fontId="48" fillId="0" borderId="0" xfId="18" applyFont="1" applyAlignment="1">
      <alignment horizontal="center" vertical="center"/>
    </xf>
    <xf numFmtId="0" fontId="48" fillId="0" borderId="1" xfId="18" applyFont="1" applyBorder="1" applyAlignment="1">
      <alignment horizontal="center" vertical="center" wrapText="1"/>
    </xf>
    <xf numFmtId="0" fontId="48" fillId="0" borderId="46" xfId="18" applyFont="1" applyBorder="1" applyAlignment="1">
      <alignment horizontal="center" vertical="center" wrapText="1"/>
    </xf>
    <xf numFmtId="0" fontId="48" fillId="0" borderId="46" xfId="18" applyFont="1" applyBorder="1">
      <alignment vertical="center"/>
    </xf>
    <xf numFmtId="0" fontId="48" fillId="0" borderId="46" xfId="18" applyFont="1" applyBorder="1" applyAlignment="1">
      <alignment horizontal="center" vertical="center"/>
    </xf>
    <xf numFmtId="0" fontId="68" fillId="0" borderId="0" xfId="0" applyFont="1" applyAlignment="1">
      <alignment vertical="center" wrapText="1"/>
    </xf>
    <xf numFmtId="0" fontId="69" fillId="0" borderId="0" xfId="0" applyFont="1" applyAlignment="1">
      <alignment horizontal="left" vertical="center" wrapText="1"/>
    </xf>
    <xf numFmtId="0" fontId="70" fillId="0" borderId="0" xfId="0" applyFont="1" applyAlignment="1">
      <alignment horizontal="right" vertical="center" wrapText="1"/>
    </xf>
    <xf numFmtId="0" fontId="70" fillId="0" borderId="0" xfId="0" applyFont="1" applyAlignment="1">
      <alignment horizontal="left" vertical="center" wrapText="1"/>
    </xf>
    <xf numFmtId="0" fontId="70" fillId="0" borderId="0" xfId="0" applyFont="1" applyAlignment="1">
      <alignment vertical="center" wrapText="1"/>
    </xf>
    <xf numFmtId="0" fontId="70" fillId="0" borderId="0" xfId="0" applyFont="1" applyAlignment="1">
      <alignment horizontal="center" vertical="center" wrapText="1"/>
    </xf>
    <xf numFmtId="49" fontId="71" fillId="0" borderId="0" xfId="0" applyNumberFormat="1" applyFont="1" applyAlignment="1">
      <alignment horizontal="left" vertical="center" wrapText="1"/>
    </xf>
    <xf numFmtId="0" fontId="71" fillId="0" borderId="0" xfId="0" applyFont="1" applyAlignment="1">
      <alignment vertical="center" wrapText="1"/>
    </xf>
    <xf numFmtId="0" fontId="72" fillId="0" borderId="0" xfId="0" applyFont="1" applyAlignment="1">
      <alignment horizontal="right" vertical="center" wrapText="1"/>
    </xf>
    <xf numFmtId="0" fontId="72" fillId="0" borderId="0" xfId="0" applyFont="1" applyAlignment="1">
      <alignment horizontal="left" vertical="center" wrapText="1"/>
    </xf>
    <xf numFmtId="49" fontId="70" fillId="0" borderId="0" xfId="0" applyNumberFormat="1" applyFont="1" applyAlignment="1">
      <alignment horizontal="left" vertical="center" wrapText="1"/>
    </xf>
    <xf numFmtId="0" fontId="69" fillId="0" borderId="0" xfId="0" applyFont="1" applyAlignment="1">
      <alignment horizontal="right" vertical="center" wrapText="1"/>
    </xf>
    <xf numFmtId="0" fontId="69" fillId="0" borderId="0" xfId="0" applyFont="1" applyAlignment="1">
      <alignment vertical="center" wrapText="1"/>
    </xf>
    <xf numFmtId="0" fontId="69" fillId="0" borderId="0" xfId="0" applyFont="1" applyAlignment="1">
      <alignment horizontal="center" vertical="center" wrapText="1"/>
    </xf>
    <xf numFmtId="0" fontId="74" fillId="3" borderId="39" xfId="0" applyFont="1" applyFill="1" applyBorder="1" applyAlignment="1">
      <alignment horizontal="center" vertical="center" wrapText="1"/>
    </xf>
    <xf numFmtId="0" fontId="70" fillId="3" borderId="39" xfId="0" applyFont="1" applyFill="1" applyBorder="1" applyAlignment="1">
      <alignment horizontal="center" vertical="center" wrapText="1"/>
    </xf>
    <xf numFmtId="0" fontId="75" fillId="3" borderId="39" xfId="0" applyFont="1" applyFill="1" applyBorder="1" applyAlignment="1">
      <alignment horizontal="center" vertical="center" wrapText="1"/>
    </xf>
    <xf numFmtId="0" fontId="70" fillId="3" borderId="44" xfId="0" applyFont="1" applyFill="1" applyBorder="1" applyAlignment="1">
      <alignment horizontal="center" vertical="center" wrapText="1"/>
    </xf>
    <xf numFmtId="0" fontId="70" fillId="0" borderId="0" xfId="0" applyFont="1" applyFill="1" applyAlignment="1">
      <alignment vertical="center" wrapText="1"/>
    </xf>
    <xf numFmtId="0" fontId="70" fillId="0" borderId="45" xfId="0" applyFont="1" applyFill="1" applyBorder="1" applyAlignment="1">
      <alignment horizontal="center" vertical="center" wrapText="1"/>
    </xf>
    <xf numFmtId="0" fontId="70" fillId="0" borderId="45" xfId="0" applyFont="1" applyFill="1" applyBorder="1" applyAlignment="1">
      <alignment vertical="center" wrapText="1"/>
    </xf>
    <xf numFmtId="0" fontId="76" fillId="0" borderId="45" xfId="0" applyFont="1" applyFill="1" applyBorder="1" applyAlignment="1">
      <alignment horizontal="center" vertical="center" wrapText="1"/>
    </xf>
    <xf numFmtId="0" fontId="76" fillId="0" borderId="45" xfId="0" applyFont="1" applyFill="1" applyBorder="1" applyAlignment="1">
      <alignment horizontal="left" vertical="center" wrapText="1"/>
    </xf>
    <xf numFmtId="0" fontId="70" fillId="0" borderId="45" xfId="0" applyFont="1" applyFill="1" applyBorder="1" applyAlignment="1">
      <alignment horizontal="left" vertical="center" wrapText="1"/>
    </xf>
    <xf numFmtId="0" fontId="69" fillId="0" borderId="0" xfId="0" applyFont="1" applyFill="1" applyAlignment="1">
      <alignment vertical="center" wrapText="1"/>
    </xf>
    <xf numFmtId="0" fontId="69" fillId="0" borderId="45" xfId="0" applyFont="1" applyFill="1" applyBorder="1" applyAlignment="1">
      <alignment vertical="center" wrapText="1"/>
    </xf>
    <xf numFmtId="0" fontId="77" fillId="0" borderId="45" xfId="0" applyFont="1" applyFill="1" applyBorder="1" applyAlignment="1">
      <alignment horizontal="left" vertical="center" wrapText="1"/>
    </xf>
    <xf numFmtId="0" fontId="69" fillId="0" borderId="45" xfId="0" applyFont="1" applyFill="1" applyBorder="1" applyAlignment="1">
      <alignment horizontal="center" vertical="center" wrapText="1"/>
    </xf>
    <xf numFmtId="0" fontId="76" fillId="0" borderId="47" xfId="0" applyFont="1" applyFill="1" applyBorder="1" applyAlignment="1">
      <alignment horizontal="left" vertical="center" wrapText="1"/>
    </xf>
    <xf numFmtId="0" fontId="9" fillId="0" borderId="45" xfId="0" applyFont="1" applyFill="1" applyBorder="1" applyAlignment="1">
      <alignment vertical="center" wrapText="1"/>
    </xf>
    <xf numFmtId="0" fontId="69" fillId="0" borderId="45" xfId="0" applyFont="1" applyFill="1" applyBorder="1" applyAlignment="1">
      <alignment horizontal="left" vertical="center" wrapText="1"/>
    </xf>
    <xf numFmtId="0" fontId="77" fillId="0" borderId="0" xfId="0" applyFont="1" applyFill="1" applyAlignment="1">
      <alignment vertical="center" wrapText="1"/>
    </xf>
    <xf numFmtId="0" fontId="70" fillId="4" borderId="45" xfId="0" applyFont="1" applyFill="1" applyBorder="1" applyAlignment="1">
      <alignment horizontal="center" vertical="center" wrapText="1"/>
    </xf>
    <xf numFmtId="0" fontId="69" fillId="4" borderId="45" xfId="0" applyFont="1" applyFill="1" applyBorder="1" applyAlignment="1">
      <alignment vertical="center" wrapText="1"/>
    </xf>
    <xf numFmtId="0" fontId="69" fillId="4" borderId="45" xfId="0" applyFont="1" applyFill="1" applyBorder="1" applyAlignment="1">
      <alignment horizontal="center" vertical="center" wrapText="1"/>
    </xf>
    <xf numFmtId="0" fontId="70" fillId="4" borderId="45" xfId="0" applyFont="1" applyFill="1" applyBorder="1" applyAlignment="1">
      <alignment horizontal="left" vertical="center" wrapText="1"/>
    </xf>
    <xf numFmtId="0" fontId="76" fillId="4" borderId="51" xfId="0" applyFont="1" applyFill="1" applyBorder="1" applyAlignment="1">
      <alignment horizontal="center" vertical="center" wrapText="1"/>
    </xf>
    <xf numFmtId="0" fontId="69" fillId="4" borderId="0" xfId="0" applyFont="1" applyFill="1" applyAlignment="1">
      <alignment vertical="center" wrapText="1"/>
    </xf>
    <xf numFmtId="0" fontId="70" fillId="2" borderId="45" xfId="0" applyFont="1" applyFill="1" applyBorder="1" applyAlignment="1">
      <alignment horizontal="center" vertical="center" wrapText="1"/>
    </xf>
    <xf numFmtId="0" fontId="69" fillId="0" borderId="45" xfId="0" applyFont="1" applyBorder="1" applyAlignment="1">
      <alignment vertical="center" wrapText="1"/>
    </xf>
    <xf numFmtId="0" fontId="69" fillId="0" borderId="45" xfId="0" applyFont="1" applyBorder="1" applyAlignment="1">
      <alignment horizontal="center"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58"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0" fillId="0" borderId="0" xfId="12" applyFont="1" applyAlignment="1">
      <alignment horizontal="center" vertical="center" wrapText="1"/>
    </xf>
    <xf numFmtId="0" fontId="48" fillId="0" borderId="48" xfId="0" applyFont="1" applyBorder="1" applyAlignment="1">
      <alignment horizontal="center" vertical="center"/>
    </xf>
    <xf numFmtId="0" fontId="66" fillId="0" borderId="49" xfId="0" applyFont="1" applyBorder="1"/>
    <xf numFmtId="0" fontId="66" fillId="0" borderId="50" xfId="0" applyFont="1" applyBorder="1"/>
    <xf numFmtId="0" fontId="48" fillId="0" borderId="1" xfId="18" applyFont="1" applyBorder="1" applyAlignment="1">
      <alignment horizontal="center" vertical="center" wrapText="1"/>
    </xf>
    <xf numFmtId="0" fontId="71" fillId="3" borderId="38" xfId="0" applyFont="1" applyFill="1" applyBorder="1" applyAlignment="1">
      <alignment horizontal="center" vertical="center" wrapText="1"/>
    </xf>
    <xf numFmtId="0" fontId="73" fillId="7" borderId="38" xfId="0" applyFont="1" applyFill="1" applyBorder="1" applyAlignment="1">
      <alignment horizontal="center" vertical="center" wrapText="1"/>
    </xf>
    <xf numFmtId="0" fontId="73" fillId="7" borderId="39" xfId="0" applyFont="1" applyFill="1" applyBorder="1" applyAlignment="1">
      <alignment horizontal="center" vertical="center" wrapText="1"/>
    </xf>
    <xf numFmtId="0" fontId="68" fillId="0" borderId="0" xfId="0" applyFont="1" applyAlignment="1">
      <alignment horizontal="center" vertical="center" wrapText="1"/>
    </xf>
    <xf numFmtId="0" fontId="73" fillId="7" borderId="40" xfId="0" applyFont="1" applyFill="1" applyBorder="1" applyAlignment="1">
      <alignment horizontal="center" vertical="center" wrapText="1"/>
    </xf>
    <xf numFmtId="0" fontId="73" fillId="7" borderId="41" xfId="0" applyFont="1" applyFill="1" applyBorder="1" applyAlignment="1">
      <alignment horizontal="center" vertical="center" wrapText="1"/>
    </xf>
    <xf numFmtId="0" fontId="73" fillId="7" borderId="43" xfId="0" applyFont="1" applyFill="1" applyBorder="1" applyAlignment="1">
      <alignment horizontal="center" vertical="center" wrapText="1"/>
    </xf>
    <xf numFmtId="0" fontId="73" fillId="7" borderId="42" xfId="0" applyFont="1" applyFill="1" applyBorder="1" applyAlignment="1">
      <alignment horizontal="center" vertical="center" wrapText="1"/>
    </xf>
    <xf numFmtId="0" fontId="43" fillId="0" borderId="0" xfId="0" applyFont="1" applyAlignment="1">
      <alignment horizontal="left"/>
    </xf>
    <xf numFmtId="14" fontId="48" fillId="0" borderId="46" xfId="18" applyNumberFormat="1" applyFont="1" applyBorder="1" applyAlignment="1">
      <alignment horizontal="center" vertical="center" wrapText="1"/>
    </xf>
    <xf numFmtId="14" fontId="48" fillId="0" borderId="1" xfId="18" applyNumberFormat="1" applyFont="1" applyBorder="1" applyAlignment="1">
      <alignment horizontal="center" vertical="center"/>
    </xf>
    <xf numFmtId="0" fontId="70" fillId="0" borderId="45" xfId="0" applyFont="1" applyFill="1" applyBorder="1" applyAlignment="1">
      <alignment horizontal="left" vertical="top" wrapText="1"/>
    </xf>
    <xf numFmtId="0" fontId="69" fillId="0" borderId="45" xfId="0" applyFont="1" applyFill="1" applyBorder="1" applyAlignment="1">
      <alignment horizontal="left" vertical="top" wrapText="1"/>
    </xf>
    <xf numFmtId="0" fontId="70" fillId="4" borderId="45" xfId="0" applyFont="1" applyFill="1" applyBorder="1" applyAlignment="1">
      <alignment horizontal="left" vertical="top" wrapText="1"/>
    </xf>
    <xf numFmtId="0" fontId="81" fillId="0" borderId="45" xfId="0" applyFont="1" applyFill="1" applyBorder="1" applyAlignment="1">
      <alignment horizontal="left" vertical="center" wrapText="1"/>
    </xf>
    <xf numFmtId="0" fontId="81" fillId="0" borderId="45" xfId="0" applyFont="1" applyFill="1" applyBorder="1" applyAlignment="1">
      <alignment horizontal="center" vertical="center" wrapText="1"/>
    </xf>
    <xf numFmtId="0" fontId="81" fillId="0" borderId="45" xfId="0" applyFont="1" applyFill="1" applyBorder="1" applyAlignment="1">
      <alignment horizontal="left" vertical="top" wrapText="1"/>
    </xf>
    <xf numFmtId="0" fontId="83" fillId="0" borderId="45" xfId="0" applyFont="1" applyFill="1" applyBorder="1" applyAlignment="1">
      <alignment horizontal="center" vertical="center" wrapText="1"/>
    </xf>
    <xf numFmtId="49" fontId="71" fillId="0" borderId="0" xfId="0" applyNumberFormat="1" applyFont="1" applyAlignment="1">
      <alignment horizontal="center" vertical="center" wrapText="1"/>
    </xf>
    <xf numFmtId="0" fontId="71" fillId="0" borderId="0" xfId="0" applyFont="1" applyAlignment="1">
      <alignment horizontal="center" vertical="center" wrapText="1"/>
    </xf>
    <xf numFmtId="0" fontId="69" fillId="0" borderId="0" xfId="0" applyFont="1" applyFill="1" applyAlignment="1">
      <alignment horizontal="center" vertical="center" wrapText="1"/>
    </xf>
    <xf numFmtId="0" fontId="81" fillId="0" borderId="45" xfId="0" applyFont="1" applyBorder="1" applyAlignment="1">
      <alignment horizontal="left" vertical="center" wrapText="1"/>
    </xf>
    <xf numFmtId="0" fontId="81" fillId="0" borderId="45" xfId="0" applyFont="1" applyBorder="1" applyAlignment="1">
      <alignment horizontal="center" vertical="center" wrapText="1"/>
    </xf>
    <xf numFmtId="0" fontId="71" fillId="0" borderId="0" xfId="0" applyFont="1" applyAlignment="1">
      <alignment horizontal="left" vertical="center" wrapText="1"/>
    </xf>
    <xf numFmtId="0" fontId="70" fillId="3" borderId="39" xfId="0" applyFont="1" applyFill="1" applyBorder="1" applyAlignment="1">
      <alignment horizontal="left" vertical="center" wrapText="1"/>
    </xf>
    <xf numFmtId="0" fontId="69" fillId="0" borderId="0" xfId="0" applyFont="1" applyFill="1" applyAlignment="1">
      <alignment horizontal="left" vertical="center" wrapText="1"/>
    </xf>
    <xf numFmtId="0" fontId="69" fillId="0" borderId="45" xfId="0" applyFont="1" applyBorder="1" applyAlignment="1">
      <alignment horizontal="left" vertical="center" wrapText="1"/>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168147</xdr:rowOff>
    </xdr:from>
    <xdr:to>
      <xdr:col>2</xdr:col>
      <xdr:colOff>1055648</xdr:colOff>
      <xdr:row>0</xdr:row>
      <xdr:rowOff>490715</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52692" y="168147"/>
          <a:ext cx="1679256" cy="322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defaultColWidth="9" defaultRowHeight="15"/>
  <cols>
    <col min="1" max="1" width="9" style="3"/>
    <col min="2" max="2" width="14.109375" style="3" customWidth="1"/>
    <col min="3" max="3" width="12.109375" style="3" customWidth="1"/>
    <col min="4" max="6" width="9" style="3"/>
    <col min="7" max="7" width="13" style="3" customWidth="1"/>
    <col min="8" max="16384" width="9" style="3"/>
  </cols>
  <sheetData>
    <row r="1" spans="1:10">
      <c r="A1" s="1"/>
      <c r="B1" s="2"/>
      <c r="C1" s="112" t="s">
        <v>10</v>
      </c>
      <c r="D1" s="113"/>
      <c r="E1" s="113"/>
      <c r="F1" s="113"/>
      <c r="G1" s="113"/>
      <c r="H1" s="113"/>
      <c r="I1" s="113"/>
      <c r="J1" s="114"/>
    </row>
    <row r="2" spans="1:10">
      <c r="A2" s="4"/>
      <c r="C2" s="115"/>
      <c r="D2" s="115"/>
      <c r="E2" s="115"/>
      <c r="F2" s="115"/>
      <c r="G2" s="115"/>
      <c r="H2" s="115"/>
      <c r="I2" s="115"/>
      <c r="J2" s="116"/>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2">
      <c r="A7" s="5"/>
      <c r="B7" s="6"/>
      <c r="C7" s="8" t="s">
        <v>1</v>
      </c>
      <c r="D7" s="16" t="s">
        <v>12</v>
      </c>
      <c r="E7" s="6"/>
      <c r="F7" s="10" t="s">
        <v>2</v>
      </c>
      <c r="G7" s="18">
        <v>44172</v>
      </c>
      <c r="H7" s="11"/>
      <c r="I7" s="6"/>
      <c r="J7" s="7"/>
    </row>
    <row r="8" spans="1:10">
      <c r="A8" s="5"/>
      <c r="B8" s="6"/>
      <c r="C8" s="9"/>
      <c r="D8" s="16"/>
      <c r="E8" s="6"/>
      <c r="F8" s="9"/>
      <c r="G8" s="19"/>
      <c r="H8" s="6"/>
      <c r="I8" s="6"/>
      <c r="J8" s="7"/>
    </row>
    <row r="9" spans="1:10" ht="16.2">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2">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6"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defaultColWidth="9" defaultRowHeight="15"/>
  <cols>
    <col min="1" max="1" width="9" style="3"/>
    <col min="2" max="2" width="14.109375" style="3" customWidth="1"/>
    <col min="3" max="9" width="9" style="3"/>
    <col min="10" max="10" width="25.44140625" style="3" customWidth="1"/>
    <col min="11" max="16384" width="9" style="3"/>
  </cols>
  <sheetData>
    <row r="1" spans="1:10">
      <c r="A1" s="1"/>
      <c r="B1" s="2"/>
      <c r="C1" s="112" t="s">
        <v>11</v>
      </c>
      <c r="D1" s="113"/>
      <c r="E1" s="113"/>
      <c r="F1" s="113"/>
      <c r="G1" s="113"/>
      <c r="H1" s="113"/>
      <c r="I1" s="113"/>
      <c r="J1" s="114"/>
    </row>
    <row r="2" spans="1:10">
      <c r="A2" s="4"/>
      <c r="C2" s="115"/>
      <c r="D2" s="115"/>
      <c r="E2" s="115"/>
      <c r="F2" s="115"/>
      <c r="G2" s="115"/>
      <c r="H2" s="115"/>
      <c r="I2" s="115"/>
      <c r="J2" s="116"/>
    </row>
    <row r="3" spans="1:10" ht="15.6">
      <c r="A3" s="117" t="s">
        <v>5</v>
      </c>
      <c r="B3" s="118"/>
      <c r="C3" s="118" t="s">
        <v>6</v>
      </c>
      <c r="D3" s="118"/>
      <c r="E3" s="118" t="s">
        <v>7</v>
      </c>
      <c r="F3" s="118"/>
      <c r="G3" s="118" t="s">
        <v>8</v>
      </c>
      <c r="H3" s="118"/>
      <c r="I3" s="118" t="s">
        <v>9</v>
      </c>
      <c r="J3" s="119"/>
    </row>
    <row r="4" spans="1:10">
      <c r="A4" s="123">
        <v>1</v>
      </c>
      <c r="B4" s="124"/>
      <c r="C4" s="125" t="s">
        <v>13</v>
      </c>
      <c r="D4" s="125"/>
      <c r="E4" s="126">
        <v>44265</v>
      </c>
      <c r="F4" s="126"/>
      <c r="G4" s="125" t="s">
        <v>14</v>
      </c>
      <c r="H4" s="125"/>
      <c r="I4" s="125" t="s">
        <v>15</v>
      </c>
      <c r="J4" s="127"/>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6" thickBot="1">
      <c r="A11" s="128"/>
      <c r="B11" s="129"/>
      <c r="C11" s="129"/>
      <c r="D11" s="129"/>
      <c r="E11" s="129"/>
      <c r="F11" s="129"/>
      <c r="G11" s="129"/>
      <c r="H11" s="129"/>
      <c r="I11" s="129"/>
      <c r="J11" s="130"/>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O13" sqref="O13"/>
    </sheetView>
  </sheetViews>
  <sheetFormatPr defaultColWidth="8.88671875" defaultRowHeight="15.6"/>
  <cols>
    <col min="1" max="2" width="8.88671875" style="57"/>
    <col min="3" max="3" width="22.33203125" style="57" customWidth="1"/>
    <col min="4" max="4" width="7.88671875" style="57" customWidth="1"/>
    <col min="5" max="5" width="7.109375" style="57" customWidth="1"/>
    <col min="6" max="6" width="8" style="57" customWidth="1"/>
    <col min="7" max="7" width="9.88671875" style="57" customWidth="1"/>
    <col min="8" max="8" width="13.109375" style="57" customWidth="1"/>
    <col min="9" max="16384" width="8.88671875" style="42"/>
  </cols>
  <sheetData>
    <row r="3" spans="1:8" ht="16.2" thickBot="1"/>
    <row r="4" spans="1:8">
      <c r="C4" s="145" t="s">
        <v>123</v>
      </c>
      <c r="D4" s="146"/>
      <c r="E4" s="146"/>
      <c r="F4" s="146"/>
      <c r="G4" s="146"/>
      <c r="H4" s="147"/>
    </row>
    <row r="5" spans="1:8">
      <c r="C5" s="148"/>
      <c r="D5" s="149"/>
      <c r="E5" s="149"/>
      <c r="F5" s="149"/>
      <c r="G5" s="149"/>
      <c r="H5" s="150"/>
    </row>
    <row r="6" spans="1:8" ht="16.2">
      <c r="C6" s="60" t="s">
        <v>84</v>
      </c>
      <c r="D6" s="151" t="s">
        <v>89</v>
      </c>
      <c r="E6" s="152"/>
      <c r="F6" s="153"/>
      <c r="G6" s="154" t="s">
        <v>85</v>
      </c>
      <c r="H6" s="155"/>
    </row>
    <row r="7" spans="1:8" ht="16.350000000000001" customHeight="1">
      <c r="A7" s="61"/>
      <c r="B7" s="61"/>
      <c r="C7" s="62" t="s">
        <v>86</v>
      </c>
      <c r="D7" s="156" t="s">
        <v>90</v>
      </c>
      <c r="E7" s="157"/>
      <c r="F7" s="158"/>
      <c r="G7" s="159">
        <v>45957</v>
      </c>
      <c r="H7" s="160"/>
    </row>
    <row r="8" spans="1:8" ht="16.350000000000001" customHeight="1">
      <c r="A8" s="61"/>
      <c r="B8" s="61"/>
      <c r="C8" s="62" t="s">
        <v>87</v>
      </c>
      <c r="D8" s="156" t="s">
        <v>91</v>
      </c>
      <c r="E8" s="157"/>
      <c r="F8" s="158"/>
      <c r="G8" s="159">
        <v>45952</v>
      </c>
      <c r="H8" s="160"/>
    </row>
    <row r="9" spans="1:8" ht="17.100000000000001" customHeight="1" thickBot="1">
      <c r="A9" s="61"/>
      <c r="B9" s="61"/>
      <c r="C9" s="63" t="s">
        <v>88</v>
      </c>
      <c r="D9" s="131" t="s">
        <v>92</v>
      </c>
      <c r="E9" s="132"/>
      <c r="F9" s="133"/>
      <c r="G9" s="134">
        <v>45950</v>
      </c>
      <c r="H9" s="135"/>
    </row>
    <row r="11" spans="1:8" ht="16.2" thickBot="1"/>
    <row r="12" spans="1:8" ht="16.2" thickTop="1">
      <c r="C12" s="136" t="s">
        <v>124</v>
      </c>
      <c r="D12" s="137"/>
      <c r="E12" s="137"/>
      <c r="F12" s="137"/>
      <c r="G12" s="137"/>
      <c r="H12" s="138"/>
    </row>
    <row r="13" spans="1:8">
      <c r="C13" s="139"/>
      <c r="D13" s="140"/>
      <c r="E13" s="140"/>
      <c r="F13" s="140"/>
      <c r="G13" s="140"/>
      <c r="H13" s="141"/>
    </row>
    <row r="14" spans="1:8">
      <c r="C14" s="139"/>
      <c r="D14" s="140"/>
      <c r="E14" s="140"/>
      <c r="F14" s="140"/>
      <c r="G14" s="140"/>
      <c r="H14" s="141"/>
    </row>
    <row r="15" spans="1:8">
      <c r="C15" s="139"/>
      <c r="D15" s="140"/>
      <c r="E15" s="140"/>
      <c r="F15" s="140"/>
      <c r="G15" s="140"/>
      <c r="H15" s="141"/>
    </row>
    <row r="16" spans="1:8">
      <c r="C16" s="139"/>
      <c r="D16" s="140"/>
      <c r="E16" s="140"/>
      <c r="F16" s="140"/>
      <c r="G16" s="140"/>
      <c r="H16" s="141"/>
    </row>
    <row r="17" spans="3:8">
      <c r="C17" s="139"/>
      <c r="D17" s="140"/>
      <c r="E17" s="140"/>
      <c r="F17" s="140"/>
      <c r="G17" s="140"/>
      <c r="H17" s="141"/>
    </row>
    <row r="18" spans="3:8">
      <c r="C18" s="139"/>
      <c r="D18" s="140"/>
      <c r="E18" s="140"/>
      <c r="F18" s="140"/>
      <c r="G18" s="140"/>
      <c r="H18" s="141"/>
    </row>
    <row r="19" spans="3:8">
      <c r="C19" s="139"/>
      <c r="D19" s="140"/>
      <c r="E19" s="140"/>
      <c r="F19" s="140"/>
      <c r="G19" s="140"/>
      <c r="H19" s="141"/>
    </row>
    <row r="20" spans="3:8">
      <c r="C20" s="139"/>
      <c r="D20" s="140"/>
      <c r="E20" s="140"/>
      <c r="F20" s="140"/>
      <c r="G20" s="140"/>
      <c r="H20" s="141"/>
    </row>
    <row r="21" spans="3:8">
      <c r="C21" s="139"/>
      <c r="D21" s="140"/>
      <c r="E21" s="140"/>
      <c r="F21" s="140"/>
      <c r="G21" s="140"/>
      <c r="H21" s="141"/>
    </row>
    <row r="22" spans="3:8">
      <c r="C22" s="139"/>
      <c r="D22" s="140"/>
      <c r="E22" s="140"/>
      <c r="F22" s="140"/>
      <c r="G22" s="140"/>
      <c r="H22" s="141"/>
    </row>
    <row r="23" spans="3:8">
      <c r="C23" s="139"/>
      <c r="D23" s="140"/>
      <c r="E23" s="140"/>
      <c r="F23" s="140"/>
      <c r="G23" s="140"/>
      <c r="H23" s="141"/>
    </row>
    <row r="24" spans="3:8">
      <c r="C24" s="139"/>
      <c r="D24" s="140"/>
      <c r="E24" s="140"/>
      <c r="F24" s="140"/>
      <c r="G24" s="140"/>
      <c r="H24" s="141"/>
    </row>
    <row r="25" spans="3:8">
      <c r="C25" s="139"/>
      <c r="D25" s="140"/>
      <c r="E25" s="140"/>
      <c r="F25" s="140"/>
      <c r="G25" s="140"/>
      <c r="H25" s="141"/>
    </row>
    <row r="26" spans="3:8">
      <c r="C26" s="139"/>
      <c r="D26" s="140"/>
      <c r="E26" s="140"/>
      <c r="F26" s="140"/>
      <c r="G26" s="140"/>
      <c r="H26" s="141"/>
    </row>
    <row r="27" spans="3:8">
      <c r="C27" s="139"/>
      <c r="D27" s="140"/>
      <c r="E27" s="140"/>
      <c r="F27" s="140"/>
      <c r="G27" s="140"/>
      <c r="H27" s="141"/>
    </row>
    <row r="28" spans="3:8">
      <c r="C28" s="139"/>
      <c r="D28" s="140"/>
      <c r="E28" s="140"/>
      <c r="F28" s="140"/>
      <c r="G28" s="140"/>
      <c r="H28" s="141"/>
    </row>
    <row r="29" spans="3:8" ht="16.2" thickBot="1">
      <c r="C29" s="142"/>
      <c r="D29" s="143"/>
      <c r="E29" s="143"/>
      <c r="F29" s="143"/>
      <c r="G29" s="143"/>
      <c r="H29" s="144"/>
    </row>
    <row r="30" spans="3:8" ht="16.2" thickTop="1">
      <c r="H30" s="59" t="s">
        <v>93</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topLeftCell="A5" zoomScaleNormal="100" workbookViewId="0">
      <selection activeCell="B5" sqref="B5"/>
    </sheetView>
  </sheetViews>
  <sheetFormatPr defaultColWidth="8.88671875" defaultRowHeight="15.6"/>
  <cols>
    <col min="1" max="1" width="11.44140625" style="57" customWidth="1"/>
    <col min="2" max="2" width="68.109375" style="57" customWidth="1"/>
    <col min="3" max="3" width="17.88671875" style="57" customWidth="1"/>
    <col min="4" max="4" width="12.88671875" style="58" customWidth="1"/>
    <col min="5" max="5" width="17.44140625" style="57" customWidth="1"/>
    <col min="6" max="16384" width="8.88671875" style="42"/>
  </cols>
  <sheetData>
    <row r="1" spans="1:5">
      <c r="A1" s="161" t="s">
        <v>75</v>
      </c>
      <c r="B1" s="162"/>
      <c r="C1" s="162"/>
      <c r="D1" s="162"/>
      <c r="E1" s="163"/>
    </row>
    <row r="2" spans="1:5">
      <c r="A2" s="164"/>
      <c r="B2" s="165"/>
      <c r="C2" s="165"/>
      <c r="D2" s="165"/>
      <c r="E2" s="166"/>
    </row>
    <row r="3" spans="1:5" ht="16.2" thickBot="1">
      <c r="A3" s="167"/>
      <c r="B3" s="168"/>
      <c r="C3" s="168"/>
      <c r="D3" s="168"/>
      <c r="E3" s="169"/>
    </row>
    <row r="4" spans="1:5" ht="16.2">
      <c r="A4" s="43" t="s">
        <v>76</v>
      </c>
      <c r="B4" s="44" t="s">
        <v>77</v>
      </c>
      <c r="C4" s="44" t="s">
        <v>78</v>
      </c>
      <c r="D4" s="45" t="s">
        <v>79</v>
      </c>
      <c r="E4" s="46" t="s">
        <v>80</v>
      </c>
    </row>
    <row r="5" spans="1:5" ht="409.6">
      <c r="A5" s="33" t="s">
        <v>17</v>
      </c>
      <c r="B5" s="41" t="s">
        <v>81</v>
      </c>
      <c r="C5" s="36" t="s">
        <v>82</v>
      </c>
      <c r="D5" s="34">
        <v>45950</v>
      </c>
      <c r="E5" s="48" t="s">
        <v>83</v>
      </c>
    </row>
    <row r="6" spans="1:5">
      <c r="A6" s="35"/>
      <c r="B6" s="49"/>
      <c r="C6" s="47"/>
      <c r="D6" s="34"/>
      <c r="E6" s="48"/>
    </row>
    <row r="7" spans="1:5">
      <c r="A7" s="35"/>
      <c r="B7" s="39"/>
      <c r="C7" s="47"/>
      <c r="D7" s="34"/>
      <c r="E7" s="50"/>
    </row>
    <row r="8" spans="1:5">
      <c r="A8" s="51"/>
      <c r="B8" s="51"/>
      <c r="C8" s="52"/>
      <c r="D8" s="53"/>
      <c r="E8" s="50"/>
    </row>
    <row r="9" spans="1:5">
      <c r="A9" s="51"/>
      <c r="B9" s="51"/>
      <c r="C9" s="52"/>
      <c r="D9" s="53"/>
      <c r="E9" s="50"/>
    </row>
    <row r="10" spans="1:5">
      <c r="A10" s="51"/>
      <c r="B10" s="51"/>
      <c r="C10" s="52"/>
      <c r="D10" s="53"/>
      <c r="E10" s="50"/>
    </row>
    <row r="11" spans="1:5">
      <c r="A11" s="51"/>
      <c r="B11" s="51"/>
      <c r="C11" s="52"/>
      <c r="D11" s="53"/>
      <c r="E11" s="50"/>
    </row>
    <row r="12" spans="1:5">
      <c r="A12" s="51"/>
      <c r="B12" s="51"/>
      <c r="C12" s="52"/>
      <c r="D12" s="53"/>
      <c r="E12" s="50"/>
    </row>
    <row r="13" spans="1:5">
      <c r="A13" s="51"/>
      <c r="B13" s="51"/>
      <c r="C13" s="52"/>
      <c r="D13" s="53"/>
      <c r="E13" s="50"/>
    </row>
    <row r="14" spans="1:5">
      <c r="A14" s="51"/>
      <c r="B14" s="51"/>
      <c r="C14" s="52"/>
      <c r="D14" s="53"/>
      <c r="E14" s="50"/>
    </row>
    <row r="15" spans="1:5" ht="16.2" thickBot="1">
      <c r="A15" s="54"/>
      <c r="B15" s="54"/>
      <c r="C15" s="54"/>
      <c r="D15" s="55"/>
      <c r="E15" s="56"/>
    </row>
    <row r="16" spans="1:5">
      <c r="E16" s="59" t="s">
        <v>93</v>
      </c>
    </row>
    <row r="17" spans="5:5">
      <c r="E17" s="59"/>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85" zoomScaleNormal="85" workbookViewId="0">
      <selection activeCell="K14" sqref="K14"/>
    </sheetView>
  </sheetViews>
  <sheetFormatPr defaultColWidth="8.6640625" defaultRowHeight="15.6"/>
  <cols>
    <col min="1" max="1" width="18.44140625" style="64" customWidth="1"/>
    <col min="2" max="2" width="44" style="64" customWidth="1"/>
    <col min="3" max="3" width="22.21875" style="64" customWidth="1"/>
    <col min="4" max="4" width="17" style="64" customWidth="1"/>
    <col min="5" max="16384" width="8.6640625" style="64"/>
  </cols>
  <sheetData>
    <row r="1" spans="1:8" ht="38.1" customHeight="1">
      <c r="A1" s="171" t="s">
        <v>111</v>
      </c>
      <c r="B1" s="171"/>
      <c r="C1" s="171"/>
      <c r="D1" s="171"/>
      <c r="E1" s="171"/>
      <c r="F1" s="171"/>
      <c r="G1" s="171"/>
      <c r="H1" s="171"/>
    </row>
    <row r="2" spans="1:8" ht="18">
      <c r="B2" s="57"/>
      <c r="C2" s="57"/>
      <c r="D2" s="59" t="s">
        <v>110</v>
      </c>
      <c r="E2" s="65"/>
      <c r="F2" s="65"/>
      <c r="G2" s="65"/>
      <c r="H2" s="65"/>
    </row>
    <row r="3" spans="1:8" ht="31.8">
      <c r="A3" s="67" t="s">
        <v>112</v>
      </c>
      <c r="B3" s="172" t="s">
        <v>434</v>
      </c>
      <c r="C3" s="173"/>
      <c r="D3" s="174"/>
      <c r="E3" s="66"/>
      <c r="F3" s="66"/>
      <c r="G3" s="66"/>
      <c r="H3" s="66"/>
    </row>
    <row r="4" spans="1:8" ht="31.8">
      <c r="A4" s="67" t="s">
        <v>113</v>
      </c>
      <c r="B4" s="175" t="s">
        <v>485</v>
      </c>
      <c r="C4" s="175"/>
      <c r="D4" s="175"/>
    </row>
    <row r="5" spans="1:8" ht="31.8">
      <c r="A5" s="67" t="s">
        <v>114</v>
      </c>
      <c r="B5" s="170" t="s">
        <v>486</v>
      </c>
      <c r="C5" s="170"/>
      <c r="D5" s="170"/>
    </row>
    <row r="6" spans="1:8" ht="31.8">
      <c r="A6" s="67" t="s">
        <v>115</v>
      </c>
      <c r="B6" s="170" t="s">
        <v>435</v>
      </c>
      <c r="C6" s="170"/>
      <c r="D6" s="170"/>
    </row>
    <row r="7" spans="1:8" ht="31.8">
      <c r="A7" s="67" t="s">
        <v>116</v>
      </c>
      <c r="B7" s="170" t="s">
        <v>487</v>
      </c>
      <c r="C7" s="170"/>
      <c r="D7" s="170"/>
    </row>
    <row r="8" spans="1:8" ht="31.8">
      <c r="A8" s="67" t="s">
        <v>117</v>
      </c>
      <c r="B8" s="186">
        <v>45958</v>
      </c>
      <c r="C8" s="170"/>
      <c r="D8" s="170"/>
    </row>
    <row r="11" spans="1:8" ht="38.4" customHeight="1">
      <c r="A11" s="171" t="s">
        <v>118</v>
      </c>
      <c r="B11" s="171"/>
      <c r="C11" s="171"/>
      <c r="D11" s="171"/>
    </row>
    <row r="12" spans="1:8" ht="17.100000000000001" customHeight="1">
      <c r="A12" s="68" t="s">
        <v>119</v>
      </c>
      <c r="B12" s="68" t="s">
        <v>120</v>
      </c>
      <c r="C12" s="68" t="s">
        <v>121</v>
      </c>
      <c r="D12" s="68" t="s">
        <v>122</v>
      </c>
    </row>
    <row r="13" spans="1:8" ht="16.2">
      <c r="A13" s="68" t="s">
        <v>486</v>
      </c>
      <c r="B13" s="68" t="s">
        <v>488</v>
      </c>
      <c r="C13" s="68" t="s">
        <v>489</v>
      </c>
      <c r="D13" s="185">
        <v>45958</v>
      </c>
    </row>
    <row r="14" spans="1:8">
      <c r="A14" s="68"/>
      <c r="B14" s="68"/>
      <c r="C14" s="68"/>
      <c r="D14" s="68"/>
    </row>
    <row r="15" spans="1:8">
      <c r="A15" s="68"/>
      <c r="B15" s="69"/>
      <c r="C15" s="70"/>
      <c r="D15" s="68"/>
    </row>
    <row r="16" spans="1:8">
      <c r="A16" s="68"/>
      <c r="B16" s="69"/>
      <c r="C16" s="70"/>
      <c r="D16" s="68"/>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71"/>
  <sheetViews>
    <sheetView showGridLines="0" tabSelected="1" topLeftCell="G11" zoomScaleNormal="100" workbookViewId="0">
      <selection activeCell="J20" sqref="J20"/>
    </sheetView>
  </sheetViews>
  <sheetFormatPr defaultColWidth="9" defaultRowHeight="13.8" outlineLevelCol="1"/>
  <cols>
    <col min="1" max="1" width="2.88671875" style="83" customWidth="1"/>
    <col min="2" max="2" width="8.6640625" style="83" bestFit="1" customWidth="1"/>
    <col min="3" max="3" width="24.44140625" style="83" bestFit="1" customWidth="1"/>
    <col min="4" max="4" width="29.21875" style="84" customWidth="1"/>
    <col min="5" max="5" width="18.109375" style="83" customWidth="1"/>
    <col min="6" max="6" width="19.6640625" style="84" bestFit="1" customWidth="1"/>
    <col min="7" max="7" width="14.44140625" style="84" bestFit="1" customWidth="1"/>
    <col min="8" max="8" width="13.6640625" style="83" bestFit="1" customWidth="1"/>
    <col min="9" max="9" width="37.109375" style="83" customWidth="1"/>
    <col min="10" max="10" width="32.21875" style="83" customWidth="1"/>
    <col min="11" max="11" width="18.77734375" style="83" customWidth="1"/>
    <col min="12" max="12" width="40.33203125" style="83" customWidth="1"/>
    <col min="13" max="13" width="37.5546875" style="83" customWidth="1"/>
    <col min="14" max="14" width="22.33203125" style="72" customWidth="1"/>
    <col min="15" max="15" width="15.44140625" style="83" bestFit="1" customWidth="1"/>
    <col min="16" max="16" width="16.6640625" style="84" customWidth="1"/>
    <col min="17" max="17" width="19.109375" style="83" customWidth="1"/>
    <col min="18" max="18" width="14.33203125" style="83" customWidth="1"/>
    <col min="19" max="19" width="12.33203125" style="83" hidden="1" customWidth="1" outlineLevel="1"/>
    <col min="20" max="20" width="10.44140625" style="83" hidden="1" customWidth="1" outlineLevel="1"/>
    <col min="21" max="21" width="19.6640625" style="83" hidden="1" customWidth="1" outlineLevel="1"/>
    <col min="22" max="22" width="15.6640625" style="83" hidden="1" customWidth="1" outlineLevel="1"/>
    <col min="23" max="23" width="14.33203125" style="83" hidden="1" customWidth="1" outlineLevel="1"/>
    <col min="24" max="24" width="14.6640625" style="83" hidden="1" customWidth="1" outlineLevel="1"/>
    <col min="25" max="25" width="11.6640625" style="83" hidden="1" customWidth="1" outlineLevel="1"/>
    <col min="26" max="26" width="13.109375" style="83" bestFit="1" customWidth="1" collapsed="1"/>
    <col min="27" max="27" width="9.6640625" style="83" bestFit="1" customWidth="1"/>
    <col min="28" max="28" width="15.33203125" style="83" bestFit="1" customWidth="1"/>
    <col min="29" max="29" width="15.33203125" style="83" customWidth="1"/>
    <col min="30" max="30" width="10.6640625" style="83" bestFit="1" customWidth="1"/>
    <col min="31" max="31" width="14.44140625" style="83" bestFit="1" customWidth="1"/>
    <col min="32" max="32" width="10.88671875" style="83" bestFit="1" customWidth="1"/>
    <col min="33" max="33" width="19.33203125" style="83" customWidth="1"/>
    <col min="34" max="16384" width="9" style="83"/>
  </cols>
  <sheetData>
    <row r="1" spans="1:33" s="72" customFormat="1" ht="57" customHeight="1">
      <c r="A1" s="179" t="s">
        <v>428</v>
      </c>
      <c r="B1" s="179"/>
      <c r="C1" s="179"/>
      <c r="D1" s="179"/>
      <c r="E1" s="179"/>
      <c r="F1" s="179"/>
      <c r="G1" s="179"/>
      <c r="H1" s="179"/>
      <c r="I1" s="179"/>
      <c r="J1" s="179"/>
      <c r="K1" s="179"/>
      <c r="L1" s="179"/>
      <c r="M1" s="179"/>
      <c r="N1" s="179"/>
      <c r="O1" s="179"/>
      <c r="P1" s="179"/>
      <c r="Q1" s="179"/>
      <c r="R1" s="179"/>
      <c r="S1" s="179"/>
      <c r="T1" s="179"/>
      <c r="U1" s="179"/>
      <c r="V1" s="179"/>
      <c r="W1" s="179"/>
      <c r="X1" s="179"/>
      <c r="Y1" s="179"/>
      <c r="Z1" s="179"/>
      <c r="AA1" s="179"/>
      <c r="AB1" s="179"/>
      <c r="AC1" s="179"/>
      <c r="AD1" s="179"/>
      <c r="AE1" s="71"/>
      <c r="AF1" s="71"/>
      <c r="AG1" s="71"/>
    </row>
    <row r="2" spans="1:33" s="72" customFormat="1" ht="14.25" customHeight="1">
      <c r="B2" s="73"/>
      <c r="C2" s="73" t="s">
        <v>442</v>
      </c>
      <c r="D2" s="74" t="s">
        <v>27</v>
      </c>
      <c r="E2" s="75"/>
      <c r="F2" s="76"/>
      <c r="G2" s="76"/>
      <c r="H2" s="77"/>
      <c r="I2" s="77"/>
      <c r="P2" s="84"/>
    </row>
    <row r="3" spans="1:33" s="72" customFormat="1" ht="14.25" customHeight="1">
      <c r="B3" s="73"/>
      <c r="C3" s="73" t="s">
        <v>443</v>
      </c>
      <c r="D3" s="74"/>
      <c r="E3" s="75"/>
      <c r="F3" s="76"/>
      <c r="G3" s="76"/>
      <c r="H3" s="77"/>
      <c r="I3" s="77"/>
      <c r="M3" s="73"/>
      <c r="N3" s="74"/>
      <c r="O3" s="73"/>
      <c r="P3" s="194"/>
      <c r="Q3" s="77"/>
      <c r="R3" s="77"/>
      <c r="S3" s="77"/>
      <c r="T3" s="77"/>
      <c r="U3" s="77"/>
      <c r="V3" s="77"/>
    </row>
    <row r="4" spans="1:33" s="72" customFormat="1" ht="14.25" customHeight="1">
      <c r="B4" s="73"/>
      <c r="C4" s="73" t="s">
        <v>444</v>
      </c>
      <c r="D4" s="74"/>
      <c r="E4" s="75"/>
      <c r="F4" s="76"/>
      <c r="G4" s="76"/>
      <c r="H4" s="78"/>
      <c r="I4" s="78"/>
      <c r="J4" s="78"/>
      <c r="K4" s="78"/>
      <c r="L4" s="78"/>
      <c r="M4" s="78"/>
      <c r="N4" s="199"/>
      <c r="O4" s="78"/>
      <c r="P4" s="195"/>
      <c r="Q4" s="78"/>
      <c r="R4" s="78"/>
      <c r="S4" s="78"/>
      <c r="T4" s="78"/>
      <c r="U4" s="78"/>
      <c r="V4" s="78"/>
      <c r="W4" s="78"/>
      <c r="X4" s="78"/>
      <c r="Y4" s="78"/>
    </row>
    <row r="5" spans="1:33" s="72" customFormat="1" ht="14.25" customHeight="1">
      <c r="B5" s="79"/>
      <c r="C5" s="79" t="s">
        <v>445</v>
      </c>
      <c r="D5" s="80"/>
      <c r="E5" s="75"/>
      <c r="F5" s="76"/>
      <c r="G5" s="76"/>
      <c r="H5" s="78"/>
      <c r="I5" s="73" t="s">
        <v>446</v>
      </c>
      <c r="J5" s="81" t="s">
        <v>408</v>
      </c>
      <c r="K5" s="78"/>
      <c r="L5" s="78"/>
      <c r="M5" s="78"/>
      <c r="N5" s="199"/>
      <c r="O5" s="78"/>
      <c r="P5" s="195"/>
      <c r="Q5" s="78"/>
      <c r="R5" s="78"/>
      <c r="S5" s="78"/>
      <c r="T5" s="78"/>
      <c r="U5" s="78"/>
      <c r="V5" s="78"/>
      <c r="W5" s="78"/>
      <c r="X5" s="78"/>
      <c r="Y5" s="78"/>
      <c r="AG5" s="82" t="s">
        <v>94</v>
      </c>
    </row>
    <row r="7" spans="1:33" ht="30" customHeight="1">
      <c r="B7" s="180" t="s">
        <v>95</v>
      </c>
      <c r="C7" s="181"/>
      <c r="D7" s="181"/>
      <c r="E7" s="181"/>
      <c r="F7" s="181"/>
      <c r="G7" s="181"/>
      <c r="H7" s="181"/>
      <c r="I7" s="181"/>
      <c r="J7" s="181"/>
      <c r="K7" s="181"/>
      <c r="L7" s="181"/>
      <c r="M7" s="181"/>
      <c r="N7" s="181"/>
      <c r="O7" s="181"/>
      <c r="P7" s="182"/>
      <c r="Q7" s="181"/>
      <c r="R7" s="181"/>
      <c r="S7" s="181"/>
      <c r="T7" s="181"/>
      <c r="U7" s="181"/>
      <c r="V7" s="181"/>
      <c r="W7" s="181"/>
      <c r="X7" s="181"/>
      <c r="Y7" s="181"/>
      <c r="Z7" s="183"/>
      <c r="AA7" s="177" t="s">
        <v>96</v>
      </c>
      <c r="AB7" s="177"/>
      <c r="AC7" s="177"/>
      <c r="AD7" s="177"/>
      <c r="AE7" s="178"/>
      <c r="AF7" s="178"/>
      <c r="AG7" s="177"/>
    </row>
    <row r="8" spans="1:33" s="84" customFormat="1" ht="21.75" customHeight="1">
      <c r="B8" s="85"/>
      <c r="C8" s="86"/>
      <c r="D8" s="86"/>
      <c r="E8" s="86"/>
      <c r="F8" s="86"/>
      <c r="G8" s="86"/>
      <c r="H8" s="86"/>
      <c r="I8" s="86"/>
      <c r="J8" s="86" t="s">
        <v>28</v>
      </c>
      <c r="K8" s="86" t="s">
        <v>28</v>
      </c>
      <c r="L8" s="86"/>
      <c r="M8" s="86"/>
      <c r="N8" s="200"/>
      <c r="O8" s="87"/>
      <c r="P8" s="88"/>
      <c r="Q8" s="86"/>
      <c r="R8" s="86"/>
      <c r="S8" s="176" t="s">
        <v>97</v>
      </c>
      <c r="T8" s="176"/>
      <c r="U8" s="176"/>
      <c r="V8" s="176"/>
      <c r="W8" s="176"/>
      <c r="X8" s="176"/>
      <c r="Y8" s="176"/>
      <c r="Z8" s="86" t="s">
        <v>28</v>
      </c>
      <c r="AA8" s="86"/>
      <c r="AB8" s="86"/>
      <c r="AC8" s="86"/>
      <c r="AD8" s="86"/>
      <c r="AE8" s="88"/>
      <c r="AF8" s="88"/>
      <c r="AG8" s="86"/>
    </row>
    <row r="9" spans="1:33" s="76" customFormat="1" ht="39.75" customHeight="1">
      <c r="B9" s="88" t="s">
        <v>507</v>
      </c>
      <c r="C9" s="88" t="s">
        <v>497</v>
      </c>
      <c r="D9" s="88" t="s">
        <v>447</v>
      </c>
      <c r="E9" s="88" t="s">
        <v>498</v>
      </c>
      <c r="F9" s="88" t="s">
        <v>448</v>
      </c>
      <c r="G9" s="88" t="s">
        <v>98</v>
      </c>
      <c r="H9" s="88" t="s">
        <v>99</v>
      </c>
      <c r="I9" s="88" t="s">
        <v>100</v>
      </c>
      <c r="J9" s="88" t="s">
        <v>101</v>
      </c>
      <c r="K9" s="88" t="s">
        <v>102</v>
      </c>
      <c r="L9" s="88" t="s">
        <v>103</v>
      </c>
      <c r="M9" s="88" t="s">
        <v>104</v>
      </c>
      <c r="N9" s="88" t="s">
        <v>499</v>
      </c>
      <c r="O9" s="88" t="s">
        <v>500</v>
      </c>
      <c r="P9" s="88" t="s">
        <v>501</v>
      </c>
      <c r="Q9" s="88" t="s">
        <v>105</v>
      </c>
      <c r="R9" s="88" t="s">
        <v>106</v>
      </c>
      <c r="S9" s="86" t="s">
        <v>19</v>
      </c>
      <c r="T9" s="86" t="s">
        <v>20</v>
      </c>
      <c r="U9" s="86" t="s">
        <v>21</v>
      </c>
      <c r="V9" s="86" t="s">
        <v>22</v>
      </c>
      <c r="W9" s="86" t="s">
        <v>23</v>
      </c>
      <c r="X9" s="86" t="s">
        <v>24</v>
      </c>
      <c r="Y9" s="86" t="s">
        <v>25</v>
      </c>
      <c r="Z9" s="88" t="s">
        <v>107</v>
      </c>
      <c r="AA9" s="88" t="s">
        <v>502</v>
      </c>
      <c r="AB9" s="88" t="s">
        <v>503</v>
      </c>
      <c r="AC9" s="88" t="s">
        <v>504</v>
      </c>
      <c r="AD9" s="88" t="s">
        <v>505</v>
      </c>
      <c r="AE9" s="88" t="s">
        <v>108</v>
      </c>
      <c r="AF9" s="88" t="s">
        <v>506</v>
      </c>
      <c r="AG9" s="88" t="s">
        <v>109</v>
      </c>
    </row>
    <row r="10" spans="1:33" s="95" customFormat="1" ht="70.8">
      <c r="A10" s="89"/>
      <c r="B10" s="90">
        <f>IF(ISBLANK($D10),"",ROW()-9)</f>
        <v>1</v>
      </c>
      <c r="C10" s="91"/>
      <c r="D10" s="90" t="s">
        <v>125</v>
      </c>
      <c r="E10" s="90"/>
      <c r="F10" s="90" t="s">
        <v>44</v>
      </c>
      <c r="G10" s="90" t="s">
        <v>26</v>
      </c>
      <c r="H10" s="92" t="s">
        <v>522</v>
      </c>
      <c r="I10" s="93" t="s">
        <v>317</v>
      </c>
      <c r="J10" s="94" t="s">
        <v>524</v>
      </c>
      <c r="K10" s="90" t="s">
        <v>71</v>
      </c>
      <c r="L10" s="187" t="s">
        <v>525</v>
      </c>
      <c r="M10" s="187" t="s">
        <v>532</v>
      </c>
      <c r="N10" s="94" t="s">
        <v>243</v>
      </c>
      <c r="O10" s="90" t="s">
        <v>71</v>
      </c>
      <c r="P10" s="196" t="s">
        <v>521</v>
      </c>
      <c r="Q10" s="90"/>
      <c r="R10" s="90" t="s">
        <v>71</v>
      </c>
      <c r="S10" s="90"/>
      <c r="T10" s="90"/>
      <c r="U10" s="90"/>
      <c r="V10" s="90"/>
      <c r="W10" s="94"/>
      <c r="X10" s="90"/>
      <c r="Y10" s="94"/>
      <c r="Z10" s="90" t="s">
        <v>429</v>
      </c>
      <c r="AA10" s="90"/>
      <c r="AB10" s="90"/>
      <c r="AC10" s="90"/>
      <c r="AD10" s="90"/>
      <c r="AE10" s="90"/>
      <c r="AF10" s="90"/>
      <c r="AG10" s="94" t="s">
        <v>449</v>
      </c>
    </row>
    <row r="11" spans="1:33" s="95" customFormat="1" ht="55.2">
      <c r="A11" s="89"/>
      <c r="B11" s="90"/>
      <c r="C11" s="91"/>
      <c r="D11" s="90"/>
      <c r="E11" s="90"/>
      <c r="F11" s="90"/>
      <c r="G11" s="90" t="s">
        <v>26</v>
      </c>
      <c r="H11" s="92" t="s">
        <v>522</v>
      </c>
      <c r="I11" s="93" t="s">
        <v>317</v>
      </c>
      <c r="J11" s="94" t="s">
        <v>523</v>
      </c>
      <c r="K11" s="90" t="s">
        <v>71</v>
      </c>
      <c r="L11" s="187" t="s">
        <v>525</v>
      </c>
      <c r="M11" s="187" t="s">
        <v>531</v>
      </c>
      <c r="N11" s="94">
        <v>4921348</v>
      </c>
      <c r="O11" s="90"/>
      <c r="P11" s="98"/>
      <c r="Q11" s="90"/>
      <c r="R11" s="90"/>
      <c r="S11" s="90"/>
      <c r="T11" s="90"/>
      <c r="U11" s="90"/>
      <c r="V11" s="90"/>
      <c r="W11" s="94"/>
      <c r="X11" s="90"/>
      <c r="Y11" s="94"/>
      <c r="Z11" s="90"/>
      <c r="AA11" s="90"/>
      <c r="AB11" s="90"/>
      <c r="AC11" s="90"/>
      <c r="AD11" s="90"/>
      <c r="AE11" s="90"/>
      <c r="AF11" s="90"/>
      <c r="AG11" s="94"/>
    </row>
    <row r="12" spans="1:33" s="95" customFormat="1" ht="69">
      <c r="A12" s="89"/>
      <c r="B12" s="90">
        <f t="shared" ref="B12:B71" si="0">IF(ISBLANK($D12),"",ROW()-9)</f>
        <v>3</v>
      </c>
      <c r="C12" s="91"/>
      <c r="D12" s="191" t="s">
        <v>126</v>
      </c>
      <c r="E12" s="90"/>
      <c r="F12" s="193" t="s">
        <v>169</v>
      </c>
      <c r="G12" s="191" t="s">
        <v>26</v>
      </c>
      <c r="H12" s="191" t="s">
        <v>198</v>
      </c>
      <c r="I12" s="190" t="s">
        <v>530</v>
      </c>
      <c r="J12" s="190" t="s">
        <v>496</v>
      </c>
      <c r="K12" s="191" t="s">
        <v>71</v>
      </c>
      <c r="L12" s="192" t="s">
        <v>495</v>
      </c>
      <c r="M12" s="192" t="s">
        <v>242</v>
      </c>
      <c r="N12" s="190" t="s">
        <v>244</v>
      </c>
      <c r="O12" s="191" t="s">
        <v>71</v>
      </c>
      <c r="P12" s="90"/>
      <c r="Q12" s="90"/>
      <c r="R12" s="90" t="s">
        <v>71</v>
      </c>
      <c r="S12" s="90"/>
      <c r="T12" s="90"/>
      <c r="U12" s="90"/>
      <c r="V12" s="90"/>
      <c r="W12" s="94"/>
      <c r="X12" s="90"/>
      <c r="Y12" s="94"/>
      <c r="Z12" s="90" t="s">
        <v>429</v>
      </c>
      <c r="AA12" s="90"/>
      <c r="AB12" s="90"/>
      <c r="AC12" s="90"/>
      <c r="AD12" s="90"/>
      <c r="AE12" s="90"/>
      <c r="AF12" s="90"/>
      <c r="AG12" s="94" t="s">
        <v>450</v>
      </c>
    </row>
    <row r="13" spans="1:33" s="95" customFormat="1" ht="69">
      <c r="A13" s="89"/>
      <c r="B13" s="90"/>
      <c r="C13" s="91"/>
      <c r="D13" s="92" t="s">
        <v>126</v>
      </c>
      <c r="E13" s="90"/>
      <c r="F13" s="90" t="s">
        <v>169</v>
      </c>
      <c r="G13" s="90" t="s">
        <v>26</v>
      </c>
      <c r="H13" s="92" t="s">
        <v>520</v>
      </c>
      <c r="I13" s="94" t="s">
        <v>510</v>
      </c>
      <c r="J13" s="94" t="s">
        <v>490</v>
      </c>
      <c r="K13" s="90" t="s">
        <v>71</v>
      </c>
      <c r="L13" s="187" t="s">
        <v>508</v>
      </c>
      <c r="M13" s="187" t="s">
        <v>509</v>
      </c>
      <c r="N13" s="94" t="s">
        <v>244</v>
      </c>
      <c r="O13" s="90" t="s">
        <v>71</v>
      </c>
      <c r="P13" s="90" t="s">
        <v>521</v>
      </c>
      <c r="Q13" s="90"/>
      <c r="R13" s="90" t="s">
        <v>71</v>
      </c>
      <c r="S13" s="90"/>
      <c r="T13" s="90"/>
      <c r="U13" s="90"/>
      <c r="V13" s="90"/>
      <c r="W13" s="94"/>
      <c r="X13" s="90"/>
      <c r="Y13" s="94"/>
      <c r="Z13" s="90"/>
      <c r="AA13" s="90"/>
      <c r="AB13" s="90"/>
      <c r="AC13" s="90"/>
      <c r="AD13" s="90"/>
      <c r="AE13" s="90"/>
      <c r="AF13" s="90"/>
      <c r="AG13" s="94"/>
    </row>
    <row r="14" spans="1:33" s="95" customFormat="1" ht="82.8">
      <c r="A14" s="89"/>
      <c r="B14" s="90"/>
      <c r="C14" s="91"/>
      <c r="D14" s="92" t="s">
        <v>126</v>
      </c>
      <c r="E14" s="90"/>
      <c r="F14" s="90" t="s">
        <v>491</v>
      </c>
      <c r="G14" s="90" t="s">
        <v>26</v>
      </c>
      <c r="H14" s="92" t="s">
        <v>520</v>
      </c>
      <c r="I14" s="94" t="s">
        <v>511</v>
      </c>
      <c r="J14" s="94" t="s">
        <v>490</v>
      </c>
      <c r="K14" s="90" t="s">
        <v>71</v>
      </c>
      <c r="L14" s="187" t="s">
        <v>514</v>
      </c>
      <c r="M14" s="187" t="s">
        <v>512</v>
      </c>
      <c r="N14" s="94" t="s">
        <v>244</v>
      </c>
      <c r="O14" s="90" t="s">
        <v>71</v>
      </c>
      <c r="P14" s="90" t="s">
        <v>521</v>
      </c>
      <c r="Q14" s="90"/>
      <c r="R14" s="90" t="s">
        <v>71</v>
      </c>
      <c r="S14" s="90"/>
      <c r="T14" s="90"/>
      <c r="U14" s="90"/>
      <c r="V14" s="90"/>
      <c r="W14" s="94"/>
      <c r="X14" s="90"/>
      <c r="Y14" s="94"/>
      <c r="Z14" s="90"/>
      <c r="AA14" s="90"/>
      <c r="AB14" s="90"/>
      <c r="AC14" s="90"/>
      <c r="AD14" s="90"/>
      <c r="AE14" s="90"/>
      <c r="AF14" s="90"/>
      <c r="AG14" s="94"/>
    </row>
    <row r="15" spans="1:33" s="95" customFormat="1" ht="69">
      <c r="A15" s="89"/>
      <c r="B15" s="90"/>
      <c r="C15" s="91"/>
      <c r="D15" s="92" t="s">
        <v>126</v>
      </c>
      <c r="E15" s="90"/>
      <c r="F15" s="90" t="s">
        <v>492</v>
      </c>
      <c r="G15" s="90" t="s">
        <v>26</v>
      </c>
      <c r="H15" s="92" t="s">
        <v>520</v>
      </c>
      <c r="I15" s="94" t="s">
        <v>513</v>
      </c>
      <c r="J15" s="94" t="s">
        <v>490</v>
      </c>
      <c r="K15" s="90" t="s">
        <v>71</v>
      </c>
      <c r="L15" s="187" t="s">
        <v>515</v>
      </c>
      <c r="M15" s="187" t="s">
        <v>516</v>
      </c>
      <c r="N15" s="94" t="s">
        <v>244</v>
      </c>
      <c r="O15" s="90" t="s">
        <v>71</v>
      </c>
      <c r="P15" s="90" t="s">
        <v>521</v>
      </c>
      <c r="Q15" s="90"/>
      <c r="R15" s="90" t="s">
        <v>71</v>
      </c>
      <c r="S15" s="90"/>
      <c r="T15" s="90"/>
      <c r="U15" s="90"/>
      <c r="V15" s="90"/>
      <c r="W15" s="94"/>
      <c r="X15" s="90"/>
      <c r="Y15" s="94"/>
      <c r="Z15" s="90"/>
      <c r="AA15" s="90"/>
      <c r="AB15" s="90"/>
      <c r="AC15" s="90"/>
      <c r="AD15" s="90"/>
      <c r="AE15" s="90"/>
      <c r="AF15" s="90"/>
      <c r="AG15" s="94"/>
    </row>
    <row r="16" spans="1:33" s="95" customFormat="1" ht="55.2">
      <c r="A16" s="89"/>
      <c r="B16" s="90"/>
      <c r="C16" s="91"/>
      <c r="D16" s="92" t="s">
        <v>126</v>
      </c>
      <c r="E16" s="90"/>
      <c r="F16" s="90" t="s">
        <v>493</v>
      </c>
      <c r="G16" s="90" t="s">
        <v>26</v>
      </c>
      <c r="H16" s="92" t="s">
        <v>520</v>
      </c>
      <c r="I16" s="94" t="s">
        <v>517</v>
      </c>
      <c r="J16" s="94" t="s">
        <v>490</v>
      </c>
      <c r="K16" s="90" t="s">
        <v>71</v>
      </c>
      <c r="L16" s="187" t="s">
        <v>518</v>
      </c>
      <c r="M16" s="187" t="s">
        <v>519</v>
      </c>
      <c r="N16" s="94" t="s">
        <v>244</v>
      </c>
      <c r="O16" s="90" t="s">
        <v>71</v>
      </c>
      <c r="P16" s="90" t="s">
        <v>521</v>
      </c>
      <c r="Q16" s="90"/>
      <c r="R16" s="90" t="s">
        <v>71</v>
      </c>
      <c r="S16" s="90"/>
      <c r="T16" s="90"/>
      <c r="U16" s="90"/>
      <c r="V16" s="90"/>
      <c r="W16" s="94"/>
      <c r="X16" s="90"/>
      <c r="Y16" s="94"/>
      <c r="Z16" s="90"/>
      <c r="AA16" s="90"/>
      <c r="AB16" s="90"/>
      <c r="AC16" s="90"/>
      <c r="AD16" s="90"/>
      <c r="AE16" s="90"/>
      <c r="AF16" s="90"/>
      <c r="AG16" s="94"/>
    </row>
    <row r="17" spans="1:33" s="95" customFormat="1" ht="41.4">
      <c r="A17" s="89"/>
      <c r="B17" s="90"/>
      <c r="C17" s="91"/>
      <c r="D17" s="92" t="s">
        <v>127</v>
      </c>
      <c r="E17" s="90"/>
      <c r="F17" s="193" t="s">
        <v>491</v>
      </c>
      <c r="G17" s="191" t="s">
        <v>26</v>
      </c>
      <c r="H17" s="191" t="s">
        <v>197</v>
      </c>
      <c r="I17" s="190" t="s">
        <v>529</v>
      </c>
      <c r="J17" s="197" t="s">
        <v>354</v>
      </c>
      <c r="K17" s="198" t="s">
        <v>71</v>
      </c>
      <c r="L17" s="197" t="s">
        <v>241</v>
      </c>
      <c r="M17" s="197" t="s">
        <v>280</v>
      </c>
      <c r="N17" s="197" t="s">
        <v>245</v>
      </c>
      <c r="O17" s="90" t="s">
        <v>71</v>
      </c>
      <c r="P17" s="90"/>
      <c r="Q17" s="90"/>
      <c r="R17" s="90"/>
      <c r="S17" s="90"/>
      <c r="T17" s="90"/>
      <c r="U17" s="90"/>
      <c r="V17" s="90"/>
      <c r="W17" s="94"/>
      <c r="X17" s="90"/>
      <c r="Y17" s="94"/>
      <c r="Z17" s="90"/>
      <c r="AA17" s="90"/>
      <c r="AB17" s="90"/>
      <c r="AC17" s="90"/>
      <c r="AD17" s="90"/>
      <c r="AE17" s="90"/>
      <c r="AF17" s="90"/>
      <c r="AG17" s="94"/>
    </row>
    <row r="18" spans="1:33" s="95" customFormat="1" ht="57">
      <c r="A18" s="89"/>
      <c r="B18" s="90">
        <f t="shared" si="0"/>
        <v>9</v>
      </c>
      <c r="C18" s="91"/>
      <c r="D18" s="92" t="s">
        <v>127</v>
      </c>
      <c r="E18" s="91"/>
      <c r="F18" s="90" t="s">
        <v>282</v>
      </c>
      <c r="G18" s="90" t="s">
        <v>26</v>
      </c>
      <c r="H18" s="92" t="s">
        <v>522</v>
      </c>
      <c r="I18" s="94" t="s">
        <v>528</v>
      </c>
      <c r="J18" s="94" t="s">
        <v>524</v>
      </c>
      <c r="K18" s="90" t="s">
        <v>71</v>
      </c>
      <c r="L18" s="187" t="s">
        <v>525</v>
      </c>
      <c r="M18" s="187" t="s">
        <v>526</v>
      </c>
      <c r="N18" s="94" t="s">
        <v>245</v>
      </c>
      <c r="O18" s="90" t="s">
        <v>71</v>
      </c>
      <c r="P18" s="98"/>
      <c r="Q18" s="90"/>
      <c r="R18" s="90" t="s">
        <v>71</v>
      </c>
      <c r="S18" s="96"/>
      <c r="T18" s="96"/>
      <c r="U18" s="96"/>
      <c r="V18" s="96"/>
      <c r="W18" s="96"/>
      <c r="X18" s="96"/>
      <c r="Y18" s="96"/>
      <c r="Z18" s="90" t="s">
        <v>429</v>
      </c>
      <c r="AA18" s="96"/>
      <c r="AB18" s="96"/>
      <c r="AC18" s="96"/>
      <c r="AD18" s="96"/>
      <c r="AE18" s="96"/>
      <c r="AF18" s="96"/>
      <c r="AG18" s="94" t="s">
        <v>450</v>
      </c>
    </row>
    <row r="19" spans="1:33" s="95" customFormat="1" ht="55.2">
      <c r="A19" s="89"/>
      <c r="B19" s="90"/>
      <c r="C19" s="91"/>
      <c r="D19" s="92" t="s">
        <v>127</v>
      </c>
      <c r="E19" s="91"/>
      <c r="F19" s="90" t="s">
        <v>494</v>
      </c>
      <c r="G19" s="90" t="s">
        <v>26</v>
      </c>
      <c r="H19" s="92" t="s">
        <v>522</v>
      </c>
      <c r="I19" s="94" t="s">
        <v>527</v>
      </c>
      <c r="J19" s="94" t="s">
        <v>523</v>
      </c>
      <c r="K19" s="90" t="s">
        <v>71</v>
      </c>
      <c r="L19" s="187" t="s">
        <v>525</v>
      </c>
      <c r="M19" s="187" t="s">
        <v>526</v>
      </c>
      <c r="N19" s="94" t="s">
        <v>245</v>
      </c>
      <c r="O19" s="90" t="s">
        <v>71</v>
      </c>
      <c r="P19" s="98"/>
      <c r="Q19" s="90"/>
      <c r="R19" s="90"/>
      <c r="S19" s="96"/>
      <c r="T19" s="96"/>
      <c r="U19" s="96"/>
      <c r="V19" s="96"/>
      <c r="W19" s="96"/>
      <c r="X19" s="96"/>
      <c r="Y19" s="96"/>
      <c r="Z19" s="90"/>
      <c r="AA19" s="96"/>
      <c r="AB19" s="96"/>
      <c r="AC19" s="96"/>
      <c r="AD19" s="96"/>
      <c r="AE19" s="96"/>
      <c r="AF19" s="96"/>
      <c r="AG19" s="94"/>
    </row>
    <row r="20" spans="1:33" s="95" customFormat="1" ht="57">
      <c r="A20" s="89"/>
      <c r="B20" s="90">
        <f t="shared" si="0"/>
        <v>11</v>
      </c>
      <c r="C20" s="91"/>
      <c r="D20" s="92" t="s">
        <v>128</v>
      </c>
      <c r="E20" s="91"/>
      <c r="F20" s="193" t="s">
        <v>170</v>
      </c>
      <c r="G20" s="191" t="s">
        <v>26</v>
      </c>
      <c r="H20" s="191" t="s">
        <v>198</v>
      </c>
      <c r="I20" s="190" t="s">
        <v>533</v>
      </c>
      <c r="J20" s="190" t="s">
        <v>354</v>
      </c>
      <c r="K20" s="191" t="s">
        <v>71</v>
      </c>
      <c r="L20" s="192" t="s">
        <v>309</v>
      </c>
      <c r="M20" s="192" t="s">
        <v>281</v>
      </c>
      <c r="N20" s="190" t="s">
        <v>246</v>
      </c>
      <c r="O20" s="191" t="s">
        <v>71</v>
      </c>
      <c r="P20" s="98"/>
      <c r="Q20" s="90"/>
      <c r="R20" s="90" t="s">
        <v>71</v>
      </c>
      <c r="S20" s="96"/>
      <c r="T20" s="96"/>
      <c r="U20" s="96"/>
      <c r="V20" s="96"/>
      <c r="W20" s="96"/>
      <c r="X20" s="96"/>
      <c r="Y20" s="96"/>
      <c r="Z20" s="90" t="s">
        <v>429</v>
      </c>
      <c r="AA20" s="96"/>
      <c r="AB20" s="96"/>
      <c r="AC20" s="96"/>
      <c r="AD20" s="96"/>
      <c r="AE20" s="96"/>
      <c r="AF20" s="96"/>
      <c r="AG20" s="94" t="s">
        <v>450</v>
      </c>
    </row>
    <row r="21" spans="1:33" s="95" customFormat="1" ht="55.2">
      <c r="A21" s="89"/>
      <c r="B21" s="90">
        <f t="shared" si="0"/>
        <v>12</v>
      </c>
      <c r="C21" s="91"/>
      <c r="D21" s="92" t="s">
        <v>129</v>
      </c>
      <c r="E21" s="91"/>
      <c r="F21" s="90" t="s">
        <v>171</v>
      </c>
      <c r="G21" s="90" t="s">
        <v>26</v>
      </c>
      <c r="H21" s="92" t="s">
        <v>199</v>
      </c>
      <c r="I21" s="94" t="s">
        <v>288</v>
      </c>
      <c r="J21" s="94" t="s">
        <v>355</v>
      </c>
      <c r="K21" s="90" t="s">
        <v>71</v>
      </c>
      <c r="L21" s="187" t="s">
        <v>283</v>
      </c>
      <c r="M21" s="187" t="s">
        <v>285</v>
      </c>
      <c r="N21" s="94" t="s">
        <v>247</v>
      </c>
      <c r="O21" s="97" t="s">
        <v>286</v>
      </c>
      <c r="P21" s="98"/>
      <c r="Q21" s="90"/>
      <c r="R21" s="90" t="s">
        <v>71</v>
      </c>
      <c r="S21" s="96"/>
      <c r="T21" s="96"/>
      <c r="U21" s="96"/>
      <c r="V21" s="96"/>
      <c r="W21" s="96"/>
      <c r="X21" s="96"/>
      <c r="Y21" s="96"/>
      <c r="Z21" s="90" t="s">
        <v>429</v>
      </c>
      <c r="AA21" s="96"/>
      <c r="AB21" s="96"/>
      <c r="AC21" s="96"/>
      <c r="AD21" s="96"/>
      <c r="AE21" s="96"/>
      <c r="AF21" s="96"/>
      <c r="AG21" s="96" t="s">
        <v>423</v>
      </c>
    </row>
    <row r="22" spans="1:33" s="95" customFormat="1" ht="55.2">
      <c r="A22" s="89"/>
      <c r="B22" s="90">
        <f t="shared" si="0"/>
        <v>13</v>
      </c>
      <c r="C22" s="91"/>
      <c r="D22" s="92" t="s">
        <v>129</v>
      </c>
      <c r="E22" s="91"/>
      <c r="F22" s="90" t="s">
        <v>282</v>
      </c>
      <c r="G22" s="90" t="s">
        <v>26</v>
      </c>
      <c r="H22" s="92" t="s">
        <v>199</v>
      </c>
      <c r="I22" s="94" t="s">
        <v>289</v>
      </c>
      <c r="J22" s="94" t="s">
        <v>356</v>
      </c>
      <c r="K22" s="90" t="s">
        <v>71</v>
      </c>
      <c r="L22" s="187" t="s">
        <v>283</v>
      </c>
      <c r="M22" s="187" t="s">
        <v>284</v>
      </c>
      <c r="N22" s="94" t="s">
        <v>247</v>
      </c>
      <c r="O22" s="91" t="s">
        <v>287</v>
      </c>
      <c r="P22" s="98"/>
      <c r="Q22" s="90"/>
      <c r="R22" s="90" t="s">
        <v>71</v>
      </c>
      <c r="S22" s="96"/>
      <c r="T22" s="96"/>
      <c r="U22" s="96"/>
      <c r="V22" s="96"/>
      <c r="W22" s="96"/>
      <c r="X22" s="96"/>
      <c r="Y22" s="96"/>
      <c r="Z22" s="90" t="s">
        <v>429</v>
      </c>
      <c r="AA22" s="96"/>
      <c r="AB22" s="96"/>
      <c r="AC22" s="96"/>
      <c r="AD22" s="96"/>
      <c r="AE22" s="96"/>
      <c r="AF22" s="96"/>
      <c r="AG22" s="96" t="s">
        <v>423</v>
      </c>
    </row>
    <row r="23" spans="1:33" s="95" customFormat="1" ht="97.2">
      <c r="A23" s="89"/>
      <c r="B23" s="90">
        <f t="shared" si="0"/>
        <v>14</v>
      </c>
      <c r="C23" s="91"/>
      <c r="D23" s="92" t="s">
        <v>130</v>
      </c>
      <c r="E23" s="91"/>
      <c r="F23" s="90" t="s">
        <v>437</v>
      </c>
      <c r="G23" s="90" t="s">
        <v>26</v>
      </c>
      <c r="H23" s="98" t="s">
        <v>200</v>
      </c>
      <c r="I23" s="93" t="s">
        <v>318</v>
      </c>
      <c r="J23" s="99" t="s">
        <v>357</v>
      </c>
      <c r="K23" s="90" t="s">
        <v>71</v>
      </c>
      <c r="L23" s="187" t="s">
        <v>310</v>
      </c>
      <c r="M23" s="187" t="s">
        <v>290</v>
      </c>
      <c r="N23" s="94" t="s">
        <v>248</v>
      </c>
      <c r="O23" s="91" t="s">
        <v>291</v>
      </c>
      <c r="P23" s="98"/>
      <c r="Q23" s="90"/>
      <c r="R23" s="90" t="s">
        <v>71</v>
      </c>
      <c r="S23" s="96"/>
      <c r="T23" s="96"/>
      <c r="U23" s="96"/>
      <c r="V23" s="96"/>
      <c r="W23" s="96"/>
      <c r="X23" s="96"/>
      <c r="Y23" s="96"/>
      <c r="Z23" s="90" t="s">
        <v>429</v>
      </c>
      <c r="AA23" s="96"/>
      <c r="AB23" s="96"/>
      <c r="AC23" s="96"/>
      <c r="AD23" s="96"/>
      <c r="AE23" s="96"/>
      <c r="AF23" s="96"/>
      <c r="AG23" s="96" t="s">
        <v>451</v>
      </c>
    </row>
    <row r="24" spans="1:33" s="95" customFormat="1" ht="82.8">
      <c r="A24" s="89"/>
      <c r="B24" s="90">
        <f t="shared" si="0"/>
        <v>15</v>
      </c>
      <c r="C24" s="91"/>
      <c r="D24" s="92" t="s">
        <v>130</v>
      </c>
      <c r="E24" s="91"/>
      <c r="F24" s="90" t="s">
        <v>438</v>
      </c>
      <c r="G24" s="90" t="s">
        <v>26</v>
      </c>
      <c r="H24" s="98" t="s">
        <v>200</v>
      </c>
      <c r="I24" s="93" t="s">
        <v>319</v>
      </c>
      <c r="J24" s="99" t="s">
        <v>358</v>
      </c>
      <c r="K24" s="90" t="s">
        <v>71</v>
      </c>
      <c r="L24" s="187" t="s">
        <v>311</v>
      </c>
      <c r="M24" s="187" t="s">
        <v>312</v>
      </c>
      <c r="N24" s="94" t="s">
        <v>248</v>
      </c>
      <c r="O24" s="91" t="s">
        <v>292</v>
      </c>
      <c r="P24" s="98"/>
      <c r="Q24" s="90"/>
      <c r="R24" s="90" t="s">
        <v>71</v>
      </c>
      <c r="S24" s="96"/>
      <c r="T24" s="96"/>
      <c r="U24" s="96"/>
      <c r="V24" s="96"/>
      <c r="W24" s="96"/>
      <c r="X24" s="96"/>
      <c r="Y24" s="96"/>
      <c r="Z24" s="90" t="s">
        <v>429</v>
      </c>
      <c r="AA24" s="96"/>
      <c r="AB24" s="96"/>
      <c r="AC24" s="96"/>
      <c r="AD24" s="96"/>
      <c r="AE24" s="96"/>
      <c r="AF24" s="96"/>
      <c r="AG24" s="96" t="s">
        <v>430</v>
      </c>
    </row>
    <row r="25" spans="1:33" s="95" customFormat="1" ht="84">
      <c r="A25" s="89"/>
      <c r="B25" s="90">
        <f t="shared" si="0"/>
        <v>16</v>
      </c>
      <c r="C25" s="91"/>
      <c r="D25" s="92" t="s">
        <v>131</v>
      </c>
      <c r="E25" s="91"/>
      <c r="F25" s="90" t="s">
        <v>439</v>
      </c>
      <c r="G25" s="90" t="s">
        <v>26</v>
      </c>
      <c r="H25" s="98" t="s">
        <v>200</v>
      </c>
      <c r="I25" s="93" t="s">
        <v>316</v>
      </c>
      <c r="J25" s="94" t="s">
        <v>357</v>
      </c>
      <c r="K25" s="90" t="s">
        <v>71</v>
      </c>
      <c r="L25" s="187" t="s">
        <v>314</v>
      </c>
      <c r="M25" s="187" t="s">
        <v>315</v>
      </c>
      <c r="N25" s="94" t="s">
        <v>248</v>
      </c>
      <c r="O25" s="90" t="s">
        <v>71</v>
      </c>
      <c r="P25" s="98"/>
      <c r="Q25" s="90"/>
      <c r="R25" s="90" t="s">
        <v>71</v>
      </c>
      <c r="S25" s="96"/>
      <c r="T25" s="96"/>
      <c r="U25" s="96"/>
      <c r="V25" s="96"/>
      <c r="W25" s="96"/>
      <c r="X25" s="96"/>
      <c r="Y25" s="96"/>
      <c r="Z25" s="90" t="s">
        <v>429</v>
      </c>
      <c r="AA25" s="96"/>
      <c r="AB25" s="96"/>
      <c r="AC25" s="96"/>
      <c r="AD25" s="96"/>
      <c r="AE25" s="96"/>
      <c r="AF25" s="96"/>
      <c r="AG25" s="96" t="s">
        <v>452</v>
      </c>
    </row>
    <row r="26" spans="1:33" s="95" customFormat="1" ht="82.8">
      <c r="A26" s="89"/>
      <c r="B26" s="90">
        <f t="shared" si="0"/>
        <v>17</v>
      </c>
      <c r="C26" s="91"/>
      <c r="D26" s="92" t="s">
        <v>131</v>
      </c>
      <c r="E26" s="91"/>
      <c r="F26" s="90" t="s">
        <v>172</v>
      </c>
      <c r="G26" s="90" t="s">
        <v>26</v>
      </c>
      <c r="H26" s="98" t="s">
        <v>200</v>
      </c>
      <c r="I26" s="93" t="s">
        <v>320</v>
      </c>
      <c r="J26" s="94" t="s">
        <v>359</v>
      </c>
      <c r="K26" s="90" t="s">
        <v>71</v>
      </c>
      <c r="L26" s="187" t="s">
        <v>314</v>
      </c>
      <c r="M26" s="187" t="s">
        <v>313</v>
      </c>
      <c r="N26" s="94" t="s">
        <v>248</v>
      </c>
      <c r="O26" s="90" t="s">
        <v>71</v>
      </c>
      <c r="P26" s="98"/>
      <c r="Q26" s="90"/>
      <c r="R26" s="90" t="s">
        <v>71</v>
      </c>
      <c r="S26" s="96"/>
      <c r="T26" s="96"/>
      <c r="U26" s="96"/>
      <c r="V26" s="96"/>
      <c r="W26" s="96"/>
      <c r="X26" s="96"/>
      <c r="Y26" s="96"/>
      <c r="Z26" s="90" t="s">
        <v>429</v>
      </c>
      <c r="AA26" s="96"/>
      <c r="AB26" s="96"/>
      <c r="AC26" s="96"/>
      <c r="AD26" s="96"/>
      <c r="AE26" s="96"/>
      <c r="AF26" s="96"/>
      <c r="AG26" s="96" t="s">
        <v>431</v>
      </c>
    </row>
    <row r="27" spans="1:33" s="95" customFormat="1" ht="55.2">
      <c r="A27" s="89"/>
      <c r="B27" s="90">
        <f t="shared" si="0"/>
        <v>18</v>
      </c>
      <c r="C27" s="91"/>
      <c r="D27" s="92" t="s">
        <v>132</v>
      </c>
      <c r="E27" s="91"/>
      <c r="F27" s="90" t="s">
        <v>173</v>
      </c>
      <c r="G27" s="90" t="s">
        <v>26</v>
      </c>
      <c r="H27" s="92" t="s">
        <v>201</v>
      </c>
      <c r="I27" s="93" t="s">
        <v>321</v>
      </c>
      <c r="J27" s="94" t="s">
        <v>360</v>
      </c>
      <c r="K27" s="90" t="s">
        <v>71</v>
      </c>
      <c r="L27" s="187" t="s">
        <v>325</v>
      </c>
      <c r="M27" s="187" t="s">
        <v>293</v>
      </c>
      <c r="N27" s="94" t="s">
        <v>249</v>
      </c>
      <c r="O27" s="91" t="s">
        <v>295</v>
      </c>
      <c r="P27" s="98"/>
      <c r="Q27" s="90"/>
      <c r="R27" s="90" t="s">
        <v>71</v>
      </c>
      <c r="S27" s="96"/>
      <c r="T27" s="96"/>
      <c r="U27" s="96"/>
      <c r="V27" s="96"/>
      <c r="W27" s="96"/>
      <c r="X27" s="96"/>
      <c r="Y27" s="96"/>
      <c r="Z27" s="90" t="s">
        <v>429</v>
      </c>
      <c r="AA27" s="96"/>
      <c r="AB27" s="96"/>
      <c r="AC27" s="96"/>
      <c r="AD27" s="96"/>
      <c r="AE27" s="96"/>
      <c r="AF27" s="96"/>
      <c r="AG27" s="96" t="s">
        <v>296</v>
      </c>
    </row>
    <row r="28" spans="1:33" s="95" customFormat="1" ht="55.2">
      <c r="A28" s="89"/>
      <c r="B28" s="90">
        <f t="shared" si="0"/>
        <v>19</v>
      </c>
      <c r="C28" s="91"/>
      <c r="D28" s="92" t="s">
        <v>132</v>
      </c>
      <c r="E28" s="91"/>
      <c r="F28" s="90" t="s">
        <v>174</v>
      </c>
      <c r="G28" s="90" t="s">
        <v>26</v>
      </c>
      <c r="H28" s="92" t="s">
        <v>201</v>
      </c>
      <c r="I28" s="93" t="s">
        <v>322</v>
      </c>
      <c r="J28" s="94" t="s">
        <v>361</v>
      </c>
      <c r="K28" s="90" t="s">
        <v>71</v>
      </c>
      <c r="L28" s="187" t="s">
        <v>324</v>
      </c>
      <c r="M28" s="187" t="s">
        <v>293</v>
      </c>
      <c r="N28" s="94" t="s">
        <v>249</v>
      </c>
      <c r="O28" s="91" t="s">
        <v>294</v>
      </c>
      <c r="P28" s="98"/>
      <c r="Q28" s="90"/>
      <c r="R28" s="90" t="s">
        <v>71</v>
      </c>
      <c r="S28" s="96"/>
      <c r="T28" s="96"/>
      <c r="U28" s="96"/>
      <c r="V28" s="96"/>
      <c r="W28" s="96"/>
      <c r="X28" s="96"/>
      <c r="Y28" s="96"/>
      <c r="Z28" s="90" t="s">
        <v>429</v>
      </c>
      <c r="AA28" s="96"/>
      <c r="AB28" s="96"/>
      <c r="AC28" s="96"/>
      <c r="AD28" s="96"/>
      <c r="AE28" s="96"/>
      <c r="AF28" s="96"/>
      <c r="AG28" s="96" t="s">
        <v>297</v>
      </c>
    </row>
    <row r="29" spans="1:33" s="95" customFormat="1" ht="55.2">
      <c r="A29" s="89"/>
      <c r="B29" s="90">
        <f t="shared" si="0"/>
        <v>20</v>
      </c>
      <c r="C29" s="91"/>
      <c r="D29" s="92" t="s">
        <v>132</v>
      </c>
      <c r="E29" s="91"/>
      <c r="F29" s="90" t="s">
        <v>175</v>
      </c>
      <c r="G29" s="90" t="s">
        <v>26</v>
      </c>
      <c r="H29" s="92" t="s">
        <v>201</v>
      </c>
      <c r="I29" s="93" t="s">
        <v>323</v>
      </c>
      <c r="J29" s="94" t="s">
        <v>362</v>
      </c>
      <c r="K29" s="90" t="s">
        <v>71</v>
      </c>
      <c r="L29" s="187" t="s">
        <v>324</v>
      </c>
      <c r="M29" s="187" t="s">
        <v>293</v>
      </c>
      <c r="N29" s="94" t="s">
        <v>249</v>
      </c>
      <c r="O29" s="90" t="s">
        <v>71</v>
      </c>
      <c r="P29" s="98"/>
      <c r="Q29" s="90"/>
      <c r="R29" s="90" t="s">
        <v>71</v>
      </c>
      <c r="S29" s="96"/>
      <c r="T29" s="96"/>
      <c r="U29" s="96"/>
      <c r="V29" s="96"/>
      <c r="W29" s="96"/>
      <c r="X29" s="96"/>
      <c r="Y29" s="96"/>
      <c r="Z29" s="90" t="s">
        <v>429</v>
      </c>
      <c r="AA29" s="96"/>
      <c r="AB29" s="96"/>
      <c r="AC29" s="96"/>
      <c r="AD29" s="96"/>
      <c r="AE29" s="96"/>
      <c r="AF29" s="96"/>
      <c r="AG29" s="96" t="s">
        <v>424</v>
      </c>
    </row>
    <row r="30" spans="1:33" s="95" customFormat="1" ht="55.2">
      <c r="A30" s="89"/>
      <c r="B30" s="90">
        <f t="shared" si="0"/>
        <v>21</v>
      </c>
      <c r="C30" s="91"/>
      <c r="D30" s="92" t="s">
        <v>133</v>
      </c>
      <c r="E30" s="91"/>
      <c r="F30" s="90" t="s">
        <v>176</v>
      </c>
      <c r="G30" s="90" t="s">
        <v>26</v>
      </c>
      <c r="H30" s="92" t="s">
        <v>202</v>
      </c>
      <c r="I30" s="93" t="s">
        <v>207</v>
      </c>
      <c r="J30" s="94" t="s">
        <v>363</v>
      </c>
      <c r="K30" s="90" t="s">
        <v>71</v>
      </c>
      <c r="L30" s="187" t="s">
        <v>298</v>
      </c>
      <c r="M30" s="187" t="s">
        <v>302</v>
      </c>
      <c r="N30" s="94" t="s">
        <v>250</v>
      </c>
      <c r="O30" s="90" t="s">
        <v>71</v>
      </c>
      <c r="P30" s="98"/>
      <c r="Q30" s="90"/>
      <c r="R30" s="90" t="s">
        <v>71</v>
      </c>
      <c r="S30" s="96"/>
      <c r="T30" s="96"/>
      <c r="U30" s="96"/>
      <c r="V30" s="96"/>
      <c r="W30" s="96"/>
      <c r="X30" s="96"/>
      <c r="Y30" s="96"/>
      <c r="Z30" s="90" t="s">
        <v>429</v>
      </c>
      <c r="AA30" s="96"/>
      <c r="AB30" s="96"/>
      <c r="AC30" s="96"/>
      <c r="AD30" s="96"/>
      <c r="AE30" s="96"/>
      <c r="AF30" s="96"/>
      <c r="AG30" s="96" t="s">
        <v>453</v>
      </c>
    </row>
    <row r="31" spans="1:33" s="95" customFormat="1" ht="55.2">
      <c r="A31" s="89"/>
      <c r="B31" s="90">
        <f t="shared" si="0"/>
        <v>22</v>
      </c>
      <c r="C31" s="91"/>
      <c r="D31" s="92" t="s">
        <v>134</v>
      </c>
      <c r="E31" s="91"/>
      <c r="F31" s="90" t="s">
        <v>177</v>
      </c>
      <c r="G31" s="90" t="s">
        <v>26</v>
      </c>
      <c r="H31" s="92" t="s">
        <v>203</v>
      </c>
      <c r="I31" s="93" t="s">
        <v>208</v>
      </c>
      <c r="J31" s="94" t="s">
        <v>363</v>
      </c>
      <c r="K31" s="90" t="s">
        <v>71</v>
      </c>
      <c r="L31" s="187" t="s">
        <v>299</v>
      </c>
      <c r="M31" s="187" t="s">
        <v>432</v>
      </c>
      <c r="N31" s="94" t="s">
        <v>250</v>
      </c>
      <c r="O31" s="90" t="s">
        <v>71</v>
      </c>
      <c r="P31" s="98"/>
      <c r="Q31" s="90"/>
      <c r="R31" s="90" t="s">
        <v>71</v>
      </c>
      <c r="S31" s="96"/>
      <c r="T31" s="96"/>
      <c r="U31" s="96"/>
      <c r="V31" s="96"/>
      <c r="W31" s="96"/>
      <c r="X31" s="96"/>
      <c r="Y31" s="96"/>
      <c r="Z31" s="90" t="s">
        <v>429</v>
      </c>
      <c r="AA31" s="96"/>
      <c r="AB31" s="96"/>
      <c r="AC31" s="96"/>
      <c r="AD31" s="96"/>
      <c r="AE31" s="96"/>
      <c r="AF31" s="96"/>
      <c r="AG31" s="96" t="s">
        <v>454</v>
      </c>
    </row>
    <row r="32" spans="1:33" s="95" customFormat="1" ht="69">
      <c r="A32" s="89"/>
      <c r="B32" s="90">
        <f t="shared" si="0"/>
        <v>23</v>
      </c>
      <c r="C32" s="91"/>
      <c r="D32" s="92" t="s">
        <v>135</v>
      </c>
      <c r="E32" s="91"/>
      <c r="F32" s="90" t="s">
        <v>178</v>
      </c>
      <c r="G32" s="90" t="s">
        <v>26</v>
      </c>
      <c r="H32" s="92" t="s">
        <v>198</v>
      </c>
      <c r="I32" s="93" t="s">
        <v>209</v>
      </c>
      <c r="J32" s="94" t="s">
        <v>363</v>
      </c>
      <c r="K32" s="90" t="s">
        <v>71</v>
      </c>
      <c r="L32" s="187" t="s">
        <v>300</v>
      </c>
      <c r="M32" s="187" t="s">
        <v>303</v>
      </c>
      <c r="N32" s="94" t="s">
        <v>250</v>
      </c>
      <c r="O32" s="100" t="s">
        <v>305</v>
      </c>
      <c r="P32" s="98"/>
      <c r="Q32" s="90"/>
      <c r="R32" s="90" t="s">
        <v>71</v>
      </c>
      <c r="S32" s="96"/>
      <c r="T32" s="96"/>
      <c r="U32" s="96"/>
      <c r="V32" s="96"/>
      <c r="W32" s="96"/>
      <c r="X32" s="96"/>
      <c r="Y32" s="96"/>
      <c r="Z32" s="90" t="s">
        <v>429</v>
      </c>
      <c r="AA32" s="96"/>
      <c r="AB32" s="96"/>
      <c r="AC32" s="96"/>
      <c r="AD32" s="96"/>
      <c r="AE32" s="96"/>
      <c r="AF32" s="96"/>
      <c r="AG32" s="96" t="s">
        <v>455</v>
      </c>
    </row>
    <row r="33" spans="1:33" s="95" customFormat="1" ht="82.8">
      <c r="A33" s="89"/>
      <c r="B33" s="90">
        <f t="shared" si="0"/>
        <v>24</v>
      </c>
      <c r="C33" s="91"/>
      <c r="D33" s="92" t="s">
        <v>136</v>
      </c>
      <c r="E33" s="91"/>
      <c r="F33" s="90" t="s">
        <v>179</v>
      </c>
      <c r="G33" s="90" t="s">
        <v>26</v>
      </c>
      <c r="H33" s="92" t="s">
        <v>198</v>
      </c>
      <c r="I33" s="93" t="s">
        <v>210</v>
      </c>
      <c r="J33" s="94" t="s">
        <v>363</v>
      </c>
      <c r="K33" s="90" t="s">
        <v>71</v>
      </c>
      <c r="L33" s="187" t="s">
        <v>301</v>
      </c>
      <c r="M33" s="187" t="s">
        <v>304</v>
      </c>
      <c r="N33" s="94" t="s">
        <v>251</v>
      </c>
      <c r="O33" s="90" t="s">
        <v>71</v>
      </c>
      <c r="P33" s="98"/>
      <c r="Q33" s="90"/>
      <c r="R33" s="90" t="s">
        <v>71</v>
      </c>
      <c r="S33" s="96"/>
      <c r="T33" s="96"/>
      <c r="U33" s="96"/>
      <c r="V33" s="96"/>
      <c r="W33" s="96"/>
      <c r="X33" s="96"/>
      <c r="Y33" s="96"/>
      <c r="Z33" s="90" t="s">
        <v>429</v>
      </c>
      <c r="AA33" s="96"/>
      <c r="AB33" s="96"/>
      <c r="AC33" s="96"/>
      <c r="AD33" s="96"/>
      <c r="AE33" s="96"/>
      <c r="AF33" s="96"/>
      <c r="AG33" s="96" t="s">
        <v>455</v>
      </c>
    </row>
    <row r="34" spans="1:33" s="95" customFormat="1" ht="55.2">
      <c r="A34" s="89"/>
      <c r="B34" s="90">
        <f t="shared" si="0"/>
        <v>25</v>
      </c>
      <c r="C34" s="91"/>
      <c r="D34" s="92" t="s">
        <v>137</v>
      </c>
      <c r="E34" s="91"/>
      <c r="F34" s="90" t="s">
        <v>180</v>
      </c>
      <c r="G34" s="90" t="s">
        <v>26</v>
      </c>
      <c r="H34" s="92" t="s">
        <v>202</v>
      </c>
      <c r="I34" s="93" t="s">
        <v>211</v>
      </c>
      <c r="J34" s="101" t="s">
        <v>363</v>
      </c>
      <c r="K34" s="90" t="s">
        <v>71</v>
      </c>
      <c r="L34" s="188" t="s">
        <v>433</v>
      </c>
      <c r="M34" s="188" t="s">
        <v>306</v>
      </c>
      <c r="N34" s="94" t="s">
        <v>252</v>
      </c>
      <c r="O34" s="90" t="s">
        <v>71</v>
      </c>
      <c r="P34" s="98"/>
      <c r="Q34" s="90"/>
      <c r="R34" s="90" t="s">
        <v>71</v>
      </c>
      <c r="S34" s="96"/>
      <c r="T34" s="96"/>
      <c r="U34" s="96"/>
      <c r="V34" s="96"/>
      <c r="W34" s="96"/>
      <c r="X34" s="96"/>
      <c r="Y34" s="96"/>
      <c r="Z34" s="90" t="s">
        <v>429</v>
      </c>
      <c r="AA34" s="96"/>
      <c r="AB34" s="96"/>
      <c r="AC34" s="96"/>
      <c r="AD34" s="96"/>
      <c r="AE34" s="96"/>
      <c r="AF34" s="96"/>
      <c r="AG34" s="96" t="s">
        <v>425</v>
      </c>
    </row>
    <row r="35" spans="1:33" s="95" customFormat="1" ht="82.8">
      <c r="A35" s="89"/>
      <c r="B35" s="90">
        <f t="shared" si="0"/>
        <v>26</v>
      </c>
      <c r="C35" s="91"/>
      <c r="D35" s="92" t="s">
        <v>138</v>
      </c>
      <c r="E35" s="91"/>
      <c r="F35" s="90" t="s">
        <v>181</v>
      </c>
      <c r="G35" s="90" t="s">
        <v>26</v>
      </c>
      <c r="H35" s="92" t="s">
        <v>198</v>
      </c>
      <c r="I35" s="93" t="s">
        <v>212</v>
      </c>
      <c r="J35" s="101" t="s">
        <v>363</v>
      </c>
      <c r="K35" s="90" t="s">
        <v>71</v>
      </c>
      <c r="L35" s="188" t="s">
        <v>307</v>
      </c>
      <c r="M35" s="188" t="s">
        <v>308</v>
      </c>
      <c r="N35" s="94" t="s">
        <v>253</v>
      </c>
      <c r="O35" s="100" t="s">
        <v>278</v>
      </c>
      <c r="P35" s="98"/>
      <c r="Q35" s="90"/>
      <c r="R35" s="90" t="s">
        <v>71</v>
      </c>
      <c r="S35" s="96"/>
      <c r="T35" s="96"/>
      <c r="U35" s="96"/>
      <c r="V35" s="96"/>
      <c r="W35" s="96"/>
      <c r="X35" s="96"/>
      <c r="Y35" s="96"/>
      <c r="Z35" s="90" t="s">
        <v>429</v>
      </c>
      <c r="AA35" s="96"/>
      <c r="AB35" s="96"/>
      <c r="AC35" s="96"/>
      <c r="AD35" s="96"/>
      <c r="AE35" s="96"/>
      <c r="AF35" s="96"/>
      <c r="AG35" s="96" t="s">
        <v>426</v>
      </c>
    </row>
    <row r="36" spans="1:33" s="95" customFormat="1" ht="84">
      <c r="A36" s="89"/>
      <c r="B36" s="90">
        <f t="shared" si="0"/>
        <v>27</v>
      </c>
      <c r="C36" s="91"/>
      <c r="D36" s="92" t="s">
        <v>139</v>
      </c>
      <c r="E36" s="91"/>
      <c r="F36" s="90" t="s">
        <v>182</v>
      </c>
      <c r="G36" s="90" t="s">
        <v>26</v>
      </c>
      <c r="H36" s="92" t="s">
        <v>203</v>
      </c>
      <c r="I36" s="93" t="s">
        <v>213</v>
      </c>
      <c r="J36" s="101" t="s">
        <v>364</v>
      </c>
      <c r="K36" s="90" t="s">
        <v>71</v>
      </c>
      <c r="L36" s="188" t="s">
        <v>327</v>
      </c>
      <c r="M36" s="188" t="s">
        <v>326</v>
      </c>
      <c r="N36" s="94" t="s">
        <v>254</v>
      </c>
      <c r="O36" s="90" t="s">
        <v>71</v>
      </c>
      <c r="P36" s="98"/>
      <c r="Q36" s="90"/>
      <c r="R36" s="90" t="s">
        <v>71</v>
      </c>
      <c r="S36" s="96"/>
      <c r="T36" s="96"/>
      <c r="U36" s="96"/>
      <c r="V36" s="96"/>
      <c r="W36" s="96"/>
      <c r="X36" s="96"/>
      <c r="Y36" s="96"/>
      <c r="Z36" s="90" t="s">
        <v>429</v>
      </c>
      <c r="AA36" s="96"/>
      <c r="AB36" s="96"/>
      <c r="AC36" s="96"/>
      <c r="AD36" s="96"/>
      <c r="AE36" s="96"/>
      <c r="AF36" s="96"/>
      <c r="AG36" s="96" t="s">
        <v>456</v>
      </c>
    </row>
    <row r="37" spans="1:33" s="95" customFormat="1" ht="70.2">
      <c r="A37" s="89"/>
      <c r="B37" s="90">
        <f t="shared" si="0"/>
        <v>28</v>
      </c>
      <c r="C37" s="91"/>
      <c r="D37" s="92" t="s">
        <v>140</v>
      </c>
      <c r="E37" s="91"/>
      <c r="F37" s="90" t="s">
        <v>183</v>
      </c>
      <c r="G37" s="90" t="s">
        <v>26</v>
      </c>
      <c r="H37" s="92" t="s">
        <v>203</v>
      </c>
      <c r="I37" s="93" t="s">
        <v>214</v>
      </c>
      <c r="J37" s="101" t="s">
        <v>364</v>
      </c>
      <c r="K37" s="90" t="s">
        <v>71</v>
      </c>
      <c r="L37" s="188" t="s">
        <v>329</v>
      </c>
      <c r="M37" s="188" t="s">
        <v>328</v>
      </c>
      <c r="N37" s="94" t="s">
        <v>254</v>
      </c>
      <c r="O37" s="90" t="s">
        <v>71</v>
      </c>
      <c r="P37" s="98"/>
      <c r="Q37" s="90"/>
      <c r="R37" s="90" t="s">
        <v>71</v>
      </c>
      <c r="S37" s="96"/>
      <c r="T37" s="96"/>
      <c r="U37" s="96"/>
      <c r="V37" s="96"/>
      <c r="W37" s="96"/>
      <c r="X37" s="96"/>
      <c r="Y37" s="96"/>
      <c r="Z37" s="90" t="s">
        <v>429</v>
      </c>
      <c r="AA37" s="96"/>
      <c r="AB37" s="96"/>
      <c r="AC37" s="96"/>
      <c r="AD37" s="96"/>
      <c r="AE37" s="96"/>
      <c r="AF37" s="96"/>
      <c r="AG37" s="96" t="s">
        <v>457</v>
      </c>
    </row>
    <row r="38" spans="1:33" s="95" customFormat="1" ht="82.8">
      <c r="A38" s="89"/>
      <c r="B38" s="90">
        <f t="shared" si="0"/>
        <v>29</v>
      </c>
      <c r="C38" s="91"/>
      <c r="D38" s="92" t="s">
        <v>141</v>
      </c>
      <c r="E38" s="91"/>
      <c r="F38" s="90" t="s">
        <v>184</v>
      </c>
      <c r="G38" s="90" t="s">
        <v>26</v>
      </c>
      <c r="H38" s="92" t="s">
        <v>203</v>
      </c>
      <c r="I38" s="93" t="s">
        <v>336</v>
      </c>
      <c r="J38" s="101" t="s">
        <v>365</v>
      </c>
      <c r="K38" s="90" t="s">
        <v>71</v>
      </c>
      <c r="L38" s="188" t="s">
        <v>337</v>
      </c>
      <c r="M38" s="188" t="s">
        <v>338</v>
      </c>
      <c r="N38" s="94" t="s">
        <v>255</v>
      </c>
      <c r="O38" s="102" t="s">
        <v>384</v>
      </c>
      <c r="P38" s="98"/>
      <c r="Q38" s="90"/>
      <c r="R38" s="90" t="s">
        <v>71</v>
      </c>
      <c r="S38" s="96"/>
      <c r="T38" s="96"/>
      <c r="U38" s="96"/>
      <c r="V38" s="96"/>
      <c r="W38" s="96"/>
      <c r="X38" s="96"/>
      <c r="Y38" s="96"/>
      <c r="Z38" s="90" t="s">
        <v>429</v>
      </c>
      <c r="AA38" s="96"/>
      <c r="AB38" s="96"/>
      <c r="AC38" s="96"/>
      <c r="AD38" s="96"/>
      <c r="AE38" s="96"/>
      <c r="AF38" s="96"/>
      <c r="AG38" s="96" t="s">
        <v>458</v>
      </c>
    </row>
    <row r="39" spans="1:33" s="95" customFormat="1" ht="82.8">
      <c r="A39" s="89"/>
      <c r="B39" s="90">
        <f t="shared" si="0"/>
        <v>30</v>
      </c>
      <c r="C39" s="91"/>
      <c r="D39" s="92" t="s">
        <v>142</v>
      </c>
      <c r="E39" s="91"/>
      <c r="F39" s="90" t="s">
        <v>185</v>
      </c>
      <c r="G39" s="90" t="s">
        <v>26</v>
      </c>
      <c r="H39" s="92" t="s">
        <v>202</v>
      </c>
      <c r="I39" s="93" t="s">
        <v>215</v>
      </c>
      <c r="J39" s="101" t="s">
        <v>365</v>
      </c>
      <c r="K39" s="90" t="s">
        <v>71</v>
      </c>
      <c r="L39" s="188" t="s">
        <v>330</v>
      </c>
      <c r="M39" s="188" t="s">
        <v>331</v>
      </c>
      <c r="N39" s="94" t="s">
        <v>256</v>
      </c>
      <c r="O39" s="90" t="s">
        <v>71</v>
      </c>
      <c r="P39" s="98"/>
      <c r="Q39" s="90"/>
      <c r="R39" s="90" t="s">
        <v>71</v>
      </c>
      <c r="S39" s="96"/>
      <c r="T39" s="96"/>
      <c r="U39" s="96"/>
      <c r="V39" s="96"/>
      <c r="W39" s="96"/>
      <c r="X39" s="96"/>
      <c r="Y39" s="96"/>
      <c r="Z39" s="90" t="s">
        <v>429</v>
      </c>
      <c r="AA39" s="96"/>
      <c r="AB39" s="96"/>
      <c r="AC39" s="96"/>
      <c r="AD39" s="96"/>
      <c r="AE39" s="96"/>
      <c r="AF39" s="96"/>
      <c r="AG39" s="96" t="s">
        <v>459</v>
      </c>
    </row>
    <row r="40" spans="1:33" s="95" customFormat="1" ht="55.2">
      <c r="A40" s="89"/>
      <c r="B40" s="90">
        <f t="shared" si="0"/>
        <v>31</v>
      </c>
      <c r="C40" s="91"/>
      <c r="D40" s="92" t="s">
        <v>143</v>
      </c>
      <c r="E40" s="91"/>
      <c r="F40" s="90" t="s">
        <v>186</v>
      </c>
      <c r="G40" s="90" t="s">
        <v>26</v>
      </c>
      <c r="H40" s="92" t="s">
        <v>202</v>
      </c>
      <c r="I40" s="93" t="s">
        <v>216</v>
      </c>
      <c r="J40" s="101" t="s">
        <v>332</v>
      </c>
      <c r="K40" s="90" t="s">
        <v>71</v>
      </c>
      <c r="L40" s="188" t="s">
        <v>333</v>
      </c>
      <c r="M40" s="188" t="s">
        <v>334</v>
      </c>
      <c r="N40" s="94" t="s">
        <v>255</v>
      </c>
      <c r="O40" s="90" t="s">
        <v>71</v>
      </c>
      <c r="P40" s="98"/>
      <c r="Q40" s="90"/>
      <c r="R40" s="90" t="s">
        <v>71</v>
      </c>
      <c r="S40" s="96"/>
      <c r="T40" s="96"/>
      <c r="U40" s="96"/>
      <c r="V40" s="96"/>
      <c r="W40" s="96"/>
      <c r="X40" s="96"/>
      <c r="Y40" s="96"/>
      <c r="Z40" s="90" t="s">
        <v>429</v>
      </c>
      <c r="AA40" s="96"/>
      <c r="AB40" s="96"/>
      <c r="AC40" s="96"/>
      <c r="AD40" s="96"/>
      <c r="AE40" s="96"/>
      <c r="AF40" s="96"/>
      <c r="AG40" s="96" t="s">
        <v>427</v>
      </c>
    </row>
    <row r="41" spans="1:33" s="95" customFormat="1" ht="82.8">
      <c r="A41" s="89"/>
      <c r="B41" s="90">
        <f t="shared" si="0"/>
        <v>32</v>
      </c>
      <c r="C41" s="91"/>
      <c r="D41" s="92" t="s">
        <v>144</v>
      </c>
      <c r="E41" s="91"/>
      <c r="F41" s="90" t="s">
        <v>187</v>
      </c>
      <c r="G41" s="90" t="s">
        <v>26</v>
      </c>
      <c r="H41" s="92" t="s">
        <v>198</v>
      </c>
      <c r="I41" s="93" t="s">
        <v>217</v>
      </c>
      <c r="J41" s="101" t="s">
        <v>332</v>
      </c>
      <c r="K41" s="90" t="s">
        <v>71</v>
      </c>
      <c r="L41" s="188" t="s">
        <v>335</v>
      </c>
      <c r="M41" s="188" t="s">
        <v>342</v>
      </c>
      <c r="N41" s="94" t="s">
        <v>257</v>
      </c>
      <c r="O41" s="90" t="s">
        <v>71</v>
      </c>
      <c r="P41" s="98"/>
      <c r="Q41" s="90"/>
      <c r="R41" s="90" t="s">
        <v>71</v>
      </c>
      <c r="S41" s="96"/>
      <c r="T41" s="96"/>
      <c r="U41" s="96"/>
      <c r="V41" s="96"/>
      <c r="W41" s="96"/>
      <c r="X41" s="96"/>
      <c r="Y41" s="96"/>
      <c r="Z41" s="90" t="s">
        <v>429</v>
      </c>
      <c r="AA41" s="96"/>
      <c r="AB41" s="96"/>
      <c r="AC41" s="96"/>
      <c r="AD41" s="96"/>
      <c r="AE41" s="96"/>
      <c r="AF41" s="96"/>
      <c r="AG41" s="96" t="s">
        <v>460</v>
      </c>
    </row>
    <row r="42" spans="1:33" s="95" customFormat="1" ht="57">
      <c r="A42" s="89"/>
      <c r="B42" s="90">
        <f t="shared" si="0"/>
        <v>33</v>
      </c>
      <c r="C42" s="91"/>
      <c r="D42" s="92" t="s">
        <v>145</v>
      </c>
      <c r="E42" s="91" t="s">
        <v>346</v>
      </c>
      <c r="F42" s="90" t="s">
        <v>188</v>
      </c>
      <c r="G42" s="90" t="s">
        <v>26</v>
      </c>
      <c r="H42" s="92" t="s">
        <v>198</v>
      </c>
      <c r="I42" s="93" t="s">
        <v>218</v>
      </c>
      <c r="J42" s="101" t="s">
        <v>385</v>
      </c>
      <c r="K42" s="90" t="s">
        <v>71</v>
      </c>
      <c r="L42" s="188" t="s">
        <v>339</v>
      </c>
      <c r="M42" s="188" t="s">
        <v>340</v>
      </c>
      <c r="N42" s="94" t="s">
        <v>258</v>
      </c>
      <c r="O42" s="91" t="s">
        <v>386</v>
      </c>
      <c r="P42" s="98"/>
      <c r="Q42" s="90"/>
      <c r="R42" s="90" t="s">
        <v>71</v>
      </c>
      <c r="S42" s="96"/>
      <c r="T42" s="96"/>
      <c r="U42" s="96"/>
      <c r="V42" s="96"/>
      <c r="W42" s="96"/>
      <c r="X42" s="96"/>
      <c r="Y42" s="96"/>
      <c r="Z42" s="90" t="s">
        <v>429</v>
      </c>
      <c r="AA42" s="96"/>
      <c r="AB42" s="96"/>
      <c r="AC42" s="96"/>
      <c r="AD42" s="96"/>
      <c r="AE42" s="96"/>
      <c r="AF42" s="96"/>
      <c r="AG42" s="96" t="s">
        <v>461</v>
      </c>
    </row>
    <row r="43" spans="1:33" s="95" customFormat="1" ht="82.8">
      <c r="A43" s="89"/>
      <c r="B43" s="90">
        <f t="shared" si="0"/>
        <v>34</v>
      </c>
      <c r="C43" s="91"/>
      <c r="D43" s="92" t="s">
        <v>146</v>
      </c>
      <c r="E43" s="91"/>
      <c r="F43" s="90" t="s">
        <v>189</v>
      </c>
      <c r="G43" s="90" t="s">
        <v>26</v>
      </c>
      <c r="H43" s="92" t="s">
        <v>198</v>
      </c>
      <c r="I43" s="93" t="s">
        <v>219</v>
      </c>
      <c r="J43" s="101" t="s">
        <v>365</v>
      </c>
      <c r="K43" s="90" t="s">
        <v>71</v>
      </c>
      <c r="L43" s="188" t="s">
        <v>341</v>
      </c>
      <c r="M43" s="188" t="s">
        <v>343</v>
      </c>
      <c r="N43" s="94" t="s">
        <v>259</v>
      </c>
      <c r="O43" s="91" t="s">
        <v>386</v>
      </c>
      <c r="P43" s="98"/>
      <c r="Q43" s="90"/>
      <c r="R43" s="90" t="s">
        <v>71</v>
      </c>
      <c r="S43" s="96"/>
      <c r="T43" s="96"/>
      <c r="U43" s="96"/>
      <c r="V43" s="96"/>
      <c r="W43" s="96"/>
      <c r="X43" s="96"/>
      <c r="Y43" s="96"/>
      <c r="Z43" s="90" t="s">
        <v>429</v>
      </c>
      <c r="AA43" s="96"/>
      <c r="AB43" s="96"/>
      <c r="AC43" s="96"/>
      <c r="AD43" s="96"/>
      <c r="AE43" s="96"/>
      <c r="AF43" s="96"/>
      <c r="AG43" s="96" t="s">
        <v>462</v>
      </c>
    </row>
    <row r="44" spans="1:33" s="95" customFormat="1" ht="69">
      <c r="A44" s="89"/>
      <c r="B44" s="90">
        <f t="shared" si="0"/>
        <v>35</v>
      </c>
      <c r="C44" s="91"/>
      <c r="D44" s="92" t="s">
        <v>147</v>
      </c>
      <c r="E44" s="91"/>
      <c r="F44" s="90" t="s">
        <v>440</v>
      </c>
      <c r="G44" s="90" t="s">
        <v>26</v>
      </c>
      <c r="H44" s="92" t="s">
        <v>204</v>
      </c>
      <c r="I44" s="93" t="s">
        <v>220</v>
      </c>
      <c r="J44" s="101" t="s">
        <v>366</v>
      </c>
      <c r="K44" s="90" t="s">
        <v>71</v>
      </c>
      <c r="L44" s="188" t="s">
        <v>344</v>
      </c>
      <c r="M44" s="188" t="s">
        <v>345</v>
      </c>
      <c r="N44" s="94" t="s">
        <v>260</v>
      </c>
      <c r="O44" s="90" t="s">
        <v>71</v>
      </c>
      <c r="P44" s="98"/>
      <c r="Q44" s="90"/>
      <c r="R44" s="90" t="s">
        <v>71</v>
      </c>
      <c r="S44" s="96"/>
      <c r="T44" s="96"/>
      <c r="U44" s="96"/>
      <c r="V44" s="96"/>
      <c r="W44" s="96"/>
      <c r="X44" s="96"/>
      <c r="Y44" s="96"/>
      <c r="Z44" s="90" t="s">
        <v>429</v>
      </c>
      <c r="AA44" s="96"/>
      <c r="AB44" s="96"/>
      <c r="AC44" s="96"/>
      <c r="AD44" s="96"/>
      <c r="AE44" s="96"/>
      <c r="AF44" s="96"/>
      <c r="AG44" s="96" t="s">
        <v>463</v>
      </c>
    </row>
    <row r="45" spans="1:33" s="95" customFormat="1" ht="84.6">
      <c r="A45" s="89"/>
      <c r="B45" s="90">
        <f t="shared" si="0"/>
        <v>36</v>
      </c>
      <c r="C45" s="91"/>
      <c r="D45" s="92" t="s">
        <v>148</v>
      </c>
      <c r="E45" s="91"/>
      <c r="F45" s="90" t="s">
        <v>190</v>
      </c>
      <c r="G45" s="90" t="s">
        <v>26</v>
      </c>
      <c r="H45" s="92" t="s">
        <v>204</v>
      </c>
      <c r="I45" s="93" t="s">
        <v>221</v>
      </c>
      <c r="J45" s="94" t="s">
        <v>347</v>
      </c>
      <c r="K45" s="90" t="s">
        <v>71</v>
      </c>
      <c r="L45" s="187" t="s">
        <v>348</v>
      </c>
      <c r="M45" s="187" t="s">
        <v>350</v>
      </c>
      <c r="N45" s="94" t="s">
        <v>261</v>
      </c>
      <c r="O45" s="91" t="s">
        <v>387</v>
      </c>
      <c r="P45" s="98"/>
      <c r="Q45" s="90"/>
      <c r="R45" s="90" t="s">
        <v>71</v>
      </c>
      <c r="S45" s="96"/>
      <c r="T45" s="96"/>
      <c r="U45" s="96"/>
      <c r="V45" s="96"/>
      <c r="W45" s="96"/>
      <c r="X45" s="96"/>
      <c r="Y45" s="96"/>
      <c r="Z45" s="90" t="s">
        <v>429</v>
      </c>
      <c r="AA45" s="96"/>
      <c r="AB45" s="96"/>
      <c r="AC45" s="96"/>
      <c r="AD45" s="96"/>
      <c r="AE45" s="96"/>
      <c r="AF45" s="96"/>
      <c r="AG45" s="96" t="s">
        <v>464</v>
      </c>
    </row>
    <row r="46" spans="1:33" s="95" customFormat="1" ht="70.2">
      <c r="A46" s="89"/>
      <c r="B46" s="90">
        <f t="shared" si="0"/>
        <v>37</v>
      </c>
      <c r="C46" s="91"/>
      <c r="D46" s="92" t="s">
        <v>149</v>
      </c>
      <c r="E46" s="91"/>
      <c r="F46" s="90" t="s">
        <v>191</v>
      </c>
      <c r="G46" s="90" t="s">
        <v>26</v>
      </c>
      <c r="H46" s="92" t="s">
        <v>204</v>
      </c>
      <c r="I46" s="93" t="s">
        <v>222</v>
      </c>
      <c r="J46" s="94" t="s">
        <v>347</v>
      </c>
      <c r="K46" s="90" t="s">
        <v>71</v>
      </c>
      <c r="L46" s="187" t="s">
        <v>351</v>
      </c>
      <c r="M46" s="187" t="s">
        <v>349</v>
      </c>
      <c r="N46" s="94" t="s">
        <v>262</v>
      </c>
      <c r="O46" s="90" t="s">
        <v>71</v>
      </c>
      <c r="P46" s="98"/>
      <c r="Q46" s="90"/>
      <c r="R46" s="90" t="s">
        <v>71</v>
      </c>
      <c r="S46" s="96"/>
      <c r="T46" s="96"/>
      <c r="U46" s="96"/>
      <c r="V46" s="96"/>
      <c r="W46" s="96"/>
      <c r="X46" s="96"/>
      <c r="Y46" s="96"/>
      <c r="Z46" s="90" t="s">
        <v>429</v>
      </c>
      <c r="AA46" s="96"/>
      <c r="AB46" s="96"/>
      <c r="AC46" s="96"/>
      <c r="AD46" s="96"/>
      <c r="AE46" s="96"/>
      <c r="AF46" s="96"/>
      <c r="AG46" s="96" t="s">
        <v>465</v>
      </c>
    </row>
    <row r="47" spans="1:33" s="95" customFormat="1" ht="98.4">
      <c r="B47" s="90">
        <f t="shared" si="0"/>
        <v>38</v>
      </c>
      <c r="C47" s="96"/>
      <c r="D47" s="92" t="s">
        <v>150</v>
      </c>
      <c r="E47" s="96"/>
      <c r="F47" s="90" t="s">
        <v>192</v>
      </c>
      <c r="G47" s="90" t="s">
        <v>26</v>
      </c>
      <c r="H47" s="92" t="s">
        <v>204</v>
      </c>
      <c r="I47" s="93" t="s">
        <v>223</v>
      </c>
      <c r="J47" s="94" t="s">
        <v>367</v>
      </c>
      <c r="K47" s="90" t="s">
        <v>71</v>
      </c>
      <c r="L47" s="187" t="s">
        <v>352</v>
      </c>
      <c r="M47" s="187" t="s">
        <v>353</v>
      </c>
      <c r="N47" s="94" t="s">
        <v>263</v>
      </c>
      <c r="O47" s="90" t="s">
        <v>71</v>
      </c>
      <c r="P47" s="98"/>
      <c r="Q47" s="90"/>
      <c r="R47" s="90" t="s">
        <v>71</v>
      </c>
      <c r="S47" s="96"/>
      <c r="T47" s="96"/>
      <c r="U47" s="96"/>
      <c r="V47" s="96"/>
      <c r="W47" s="96"/>
      <c r="X47" s="96"/>
      <c r="Y47" s="96"/>
      <c r="Z47" s="90" t="s">
        <v>429</v>
      </c>
      <c r="AA47" s="96"/>
      <c r="AB47" s="96"/>
      <c r="AC47" s="96"/>
      <c r="AD47" s="96"/>
      <c r="AE47" s="96"/>
      <c r="AF47" s="96"/>
      <c r="AG47" s="96" t="s">
        <v>466</v>
      </c>
    </row>
    <row r="48" spans="1:33" s="95" customFormat="1" ht="84">
      <c r="B48" s="90">
        <f t="shared" si="0"/>
        <v>39</v>
      </c>
      <c r="C48" s="96"/>
      <c r="D48" s="92" t="s">
        <v>151</v>
      </c>
      <c r="E48" s="96"/>
      <c r="F48" s="90" t="s">
        <v>193</v>
      </c>
      <c r="G48" s="90" t="s">
        <v>26</v>
      </c>
      <c r="H48" s="92" t="s">
        <v>204</v>
      </c>
      <c r="I48" s="93" t="s">
        <v>224</v>
      </c>
      <c r="J48" s="94" t="s">
        <v>368</v>
      </c>
      <c r="K48" s="90" t="s">
        <v>71</v>
      </c>
      <c r="L48" s="187" t="s">
        <v>352</v>
      </c>
      <c r="M48" s="187" t="s">
        <v>353</v>
      </c>
      <c r="N48" s="94" t="s">
        <v>263</v>
      </c>
      <c r="O48" s="90" t="s">
        <v>71</v>
      </c>
      <c r="P48" s="98"/>
      <c r="Q48" s="90"/>
      <c r="R48" s="90" t="s">
        <v>71</v>
      </c>
      <c r="S48" s="96"/>
      <c r="T48" s="96"/>
      <c r="U48" s="96"/>
      <c r="V48" s="96"/>
      <c r="W48" s="96"/>
      <c r="X48" s="96"/>
      <c r="Y48" s="96"/>
      <c r="Z48" s="90" t="s">
        <v>429</v>
      </c>
      <c r="AA48" s="96"/>
      <c r="AB48" s="96"/>
      <c r="AC48" s="96"/>
      <c r="AD48" s="96"/>
      <c r="AE48" s="96"/>
      <c r="AF48" s="96"/>
      <c r="AG48" s="96" t="s">
        <v>467</v>
      </c>
    </row>
    <row r="49" spans="2:33" s="95" customFormat="1" ht="84">
      <c r="B49" s="90">
        <f t="shared" si="0"/>
        <v>40</v>
      </c>
      <c r="C49" s="96"/>
      <c r="D49" s="92" t="s">
        <v>152</v>
      </c>
      <c r="E49" s="96"/>
      <c r="F49" s="90" t="s">
        <v>194</v>
      </c>
      <c r="G49" s="90" t="s">
        <v>26</v>
      </c>
      <c r="H49" s="92" t="s">
        <v>204</v>
      </c>
      <c r="I49" s="93" t="s">
        <v>225</v>
      </c>
      <c r="J49" s="94" t="s">
        <v>367</v>
      </c>
      <c r="K49" s="90" t="s">
        <v>71</v>
      </c>
      <c r="L49" s="187" t="s">
        <v>352</v>
      </c>
      <c r="M49" s="187" t="s">
        <v>353</v>
      </c>
      <c r="N49" s="94" t="s">
        <v>263</v>
      </c>
      <c r="O49" s="90" t="s">
        <v>71</v>
      </c>
      <c r="P49" s="98"/>
      <c r="Q49" s="90"/>
      <c r="R49" s="90" t="s">
        <v>71</v>
      </c>
      <c r="S49" s="96"/>
      <c r="T49" s="96"/>
      <c r="U49" s="96"/>
      <c r="V49" s="96"/>
      <c r="W49" s="96"/>
      <c r="X49" s="96"/>
      <c r="Y49" s="96"/>
      <c r="Z49" s="90" t="s">
        <v>429</v>
      </c>
      <c r="AA49" s="96"/>
      <c r="AB49" s="96"/>
      <c r="AC49" s="96"/>
      <c r="AD49" s="96"/>
      <c r="AE49" s="96"/>
      <c r="AF49" s="96"/>
      <c r="AG49" s="96" t="s">
        <v>468</v>
      </c>
    </row>
    <row r="50" spans="2:33" s="95" customFormat="1" ht="112.8">
      <c r="B50" s="90">
        <f t="shared" si="0"/>
        <v>41</v>
      </c>
      <c r="C50" s="96"/>
      <c r="D50" s="92" t="s">
        <v>153</v>
      </c>
      <c r="E50" s="96"/>
      <c r="F50" s="90" t="s">
        <v>395</v>
      </c>
      <c r="G50" s="90" t="s">
        <v>26</v>
      </c>
      <c r="H50" s="92" t="s">
        <v>202</v>
      </c>
      <c r="I50" s="93" t="s">
        <v>226</v>
      </c>
      <c r="J50" s="94" t="s">
        <v>371</v>
      </c>
      <c r="K50" s="90" t="s">
        <v>71</v>
      </c>
      <c r="L50" s="187" t="s">
        <v>370</v>
      </c>
      <c r="M50" s="187" t="s">
        <v>369</v>
      </c>
      <c r="N50" s="94" t="s">
        <v>264</v>
      </c>
      <c r="O50" s="90" t="s">
        <v>71</v>
      </c>
      <c r="P50" s="98"/>
      <c r="Q50" s="90"/>
      <c r="R50" s="90" t="s">
        <v>71</v>
      </c>
      <c r="S50" s="96"/>
      <c r="T50" s="96"/>
      <c r="U50" s="96"/>
      <c r="V50" s="96"/>
      <c r="W50" s="96"/>
      <c r="X50" s="96"/>
      <c r="Y50" s="96"/>
      <c r="Z50" s="90" t="s">
        <v>429</v>
      </c>
      <c r="AA50" s="96"/>
      <c r="AB50" s="96"/>
      <c r="AC50" s="96"/>
      <c r="AD50" s="96"/>
      <c r="AE50" s="96"/>
      <c r="AF50" s="96"/>
      <c r="AG50" s="96" t="s">
        <v>469</v>
      </c>
    </row>
    <row r="51" spans="2:33" s="95" customFormat="1" ht="110.4">
      <c r="B51" s="90">
        <f t="shared" si="0"/>
        <v>42</v>
      </c>
      <c r="C51" s="96"/>
      <c r="D51" s="90" t="s">
        <v>154</v>
      </c>
      <c r="E51" s="96"/>
      <c r="F51" s="90" t="s">
        <v>195</v>
      </c>
      <c r="G51" s="90" t="s">
        <v>26</v>
      </c>
      <c r="H51" s="92" t="s">
        <v>202</v>
      </c>
      <c r="I51" s="94" t="s">
        <v>227</v>
      </c>
      <c r="J51" s="94" t="s">
        <v>240</v>
      </c>
      <c r="K51" s="90" t="s">
        <v>71</v>
      </c>
      <c r="L51" s="187" t="s">
        <v>372</v>
      </c>
      <c r="M51" s="187" t="s">
        <v>373</v>
      </c>
      <c r="N51" s="94" t="s">
        <v>265</v>
      </c>
      <c r="O51" s="90" t="s">
        <v>71</v>
      </c>
      <c r="P51" s="98"/>
      <c r="Q51" s="90"/>
      <c r="R51" s="90" t="s">
        <v>71</v>
      </c>
      <c r="S51" s="96"/>
      <c r="T51" s="96"/>
      <c r="U51" s="96"/>
      <c r="V51" s="96"/>
      <c r="W51" s="96"/>
      <c r="X51" s="96"/>
      <c r="Y51" s="96"/>
      <c r="Z51" s="90" t="s">
        <v>429</v>
      </c>
      <c r="AA51" s="96"/>
      <c r="AB51" s="96"/>
      <c r="AC51" s="96"/>
      <c r="AD51" s="96"/>
      <c r="AE51" s="96"/>
      <c r="AF51" s="96"/>
      <c r="AG51" s="96" t="s">
        <v>470</v>
      </c>
    </row>
    <row r="52" spans="2:33" s="95" customFormat="1" ht="138">
      <c r="B52" s="90">
        <f t="shared" si="0"/>
        <v>43</v>
      </c>
      <c r="C52" s="96"/>
      <c r="D52" s="90" t="s">
        <v>155</v>
      </c>
      <c r="E52" s="96"/>
      <c r="F52" s="90" t="s">
        <v>196</v>
      </c>
      <c r="G52" s="90" t="s">
        <v>26</v>
      </c>
      <c r="H52" s="92" t="s">
        <v>202</v>
      </c>
      <c r="I52" s="94" t="s">
        <v>228</v>
      </c>
      <c r="J52" s="94" t="s">
        <v>374</v>
      </c>
      <c r="K52" s="90" t="s">
        <v>71</v>
      </c>
      <c r="L52" s="187" t="s">
        <v>375</v>
      </c>
      <c r="M52" s="187" t="s">
        <v>376</v>
      </c>
      <c r="N52" s="94" t="s">
        <v>266</v>
      </c>
      <c r="O52" s="90" t="s">
        <v>71</v>
      </c>
      <c r="P52" s="98"/>
      <c r="Q52" s="90"/>
      <c r="R52" s="90" t="s">
        <v>71</v>
      </c>
      <c r="S52" s="96"/>
      <c r="T52" s="96"/>
      <c r="U52" s="96"/>
      <c r="V52" s="96"/>
      <c r="W52" s="96"/>
      <c r="X52" s="96"/>
      <c r="Y52" s="96"/>
      <c r="Z52" s="90" t="s">
        <v>429</v>
      </c>
      <c r="AA52" s="96"/>
      <c r="AB52" s="96"/>
      <c r="AC52" s="96"/>
      <c r="AD52" s="96"/>
      <c r="AE52" s="96"/>
      <c r="AF52" s="96"/>
      <c r="AG52" s="96" t="s">
        <v>471</v>
      </c>
    </row>
    <row r="53" spans="2:33" s="95" customFormat="1" ht="124.2">
      <c r="B53" s="90">
        <f t="shared" si="0"/>
        <v>44</v>
      </c>
      <c r="C53" s="96"/>
      <c r="D53" s="90" t="s">
        <v>156</v>
      </c>
      <c r="E53" s="96"/>
      <c r="F53" s="90" t="s">
        <v>383</v>
      </c>
      <c r="G53" s="90" t="s">
        <v>26</v>
      </c>
      <c r="H53" s="92" t="s">
        <v>202</v>
      </c>
      <c r="I53" s="94" t="s">
        <v>228</v>
      </c>
      <c r="J53" s="94" t="s">
        <v>377</v>
      </c>
      <c r="K53" s="90" t="s">
        <v>71</v>
      </c>
      <c r="L53" s="187" t="s">
        <v>380</v>
      </c>
      <c r="M53" s="187" t="s">
        <v>378</v>
      </c>
      <c r="N53" s="94" t="s">
        <v>266</v>
      </c>
      <c r="O53" s="90" t="s">
        <v>71</v>
      </c>
      <c r="P53" s="98"/>
      <c r="Q53" s="90"/>
      <c r="R53" s="90" t="s">
        <v>71</v>
      </c>
      <c r="S53" s="96"/>
      <c r="T53" s="96"/>
      <c r="U53" s="96"/>
      <c r="V53" s="96"/>
      <c r="W53" s="96"/>
      <c r="X53" s="96"/>
      <c r="Y53" s="96"/>
      <c r="Z53" s="90" t="s">
        <v>429</v>
      </c>
      <c r="AA53" s="96"/>
      <c r="AB53" s="96"/>
      <c r="AC53" s="96"/>
      <c r="AD53" s="96"/>
      <c r="AE53" s="96"/>
      <c r="AF53" s="96"/>
      <c r="AG53" s="96" t="s">
        <v>472</v>
      </c>
    </row>
    <row r="54" spans="2:33" s="95" customFormat="1" ht="110.4">
      <c r="B54" s="90">
        <f t="shared" si="0"/>
        <v>45</v>
      </c>
      <c r="C54" s="96"/>
      <c r="D54" s="90" t="s">
        <v>157</v>
      </c>
      <c r="E54" s="96"/>
      <c r="F54" s="90" t="s">
        <v>391</v>
      </c>
      <c r="G54" s="90" t="s">
        <v>26</v>
      </c>
      <c r="H54" s="92" t="s">
        <v>202</v>
      </c>
      <c r="I54" s="94" t="s">
        <v>229</v>
      </c>
      <c r="J54" s="94" t="s">
        <v>379</v>
      </c>
      <c r="K54" s="90" t="s">
        <v>71</v>
      </c>
      <c r="L54" s="187" t="s">
        <v>381</v>
      </c>
      <c r="M54" s="187" t="s">
        <v>382</v>
      </c>
      <c r="N54" s="94" t="s">
        <v>267</v>
      </c>
      <c r="O54" s="90" t="s">
        <v>71</v>
      </c>
      <c r="P54" s="98"/>
      <c r="Q54" s="90"/>
      <c r="R54" s="90" t="s">
        <v>71</v>
      </c>
      <c r="S54" s="96"/>
      <c r="T54" s="96"/>
      <c r="U54" s="96"/>
      <c r="V54" s="96"/>
      <c r="W54" s="96"/>
      <c r="X54" s="96"/>
      <c r="Y54" s="96"/>
      <c r="Z54" s="90" t="s">
        <v>429</v>
      </c>
      <c r="AA54" s="96"/>
      <c r="AB54" s="96"/>
      <c r="AC54" s="96"/>
      <c r="AD54" s="96"/>
      <c r="AE54" s="96"/>
      <c r="AF54" s="96"/>
      <c r="AG54" s="96" t="s">
        <v>473</v>
      </c>
    </row>
    <row r="55" spans="2:33" s="95" customFormat="1" ht="110.4">
      <c r="B55" s="90">
        <f t="shared" si="0"/>
        <v>46</v>
      </c>
      <c r="C55" s="96"/>
      <c r="D55" s="90" t="s">
        <v>158</v>
      </c>
      <c r="E55" s="96"/>
      <c r="F55" s="90" t="s">
        <v>394</v>
      </c>
      <c r="G55" s="90" t="s">
        <v>26</v>
      </c>
      <c r="H55" s="92" t="s">
        <v>202</v>
      </c>
      <c r="I55" s="94" t="s">
        <v>230</v>
      </c>
      <c r="J55" s="94" t="s">
        <v>379</v>
      </c>
      <c r="K55" s="90" t="s">
        <v>71</v>
      </c>
      <c r="L55" s="187" t="s">
        <v>388</v>
      </c>
      <c r="M55" s="187" t="s">
        <v>389</v>
      </c>
      <c r="N55" s="94" t="s">
        <v>268</v>
      </c>
      <c r="O55" s="90" t="s">
        <v>71</v>
      </c>
      <c r="P55" s="98"/>
      <c r="Q55" s="90"/>
      <c r="R55" s="90" t="s">
        <v>71</v>
      </c>
      <c r="S55" s="96"/>
      <c r="T55" s="96"/>
      <c r="U55" s="96"/>
      <c r="V55" s="96"/>
      <c r="W55" s="96"/>
      <c r="X55" s="96"/>
      <c r="Y55" s="96"/>
      <c r="Z55" s="90" t="s">
        <v>429</v>
      </c>
      <c r="AA55" s="96"/>
      <c r="AB55" s="96"/>
      <c r="AC55" s="96"/>
      <c r="AD55" s="96"/>
      <c r="AE55" s="96"/>
      <c r="AF55" s="96"/>
      <c r="AG55" s="96" t="s">
        <v>474</v>
      </c>
    </row>
    <row r="56" spans="2:33" s="95" customFormat="1" ht="138">
      <c r="B56" s="90">
        <f t="shared" si="0"/>
        <v>47</v>
      </c>
      <c r="C56" s="96"/>
      <c r="D56" s="90" t="s">
        <v>159</v>
      </c>
      <c r="E56" s="96"/>
      <c r="F56" s="90" t="s">
        <v>404</v>
      </c>
      <c r="G56" s="90" t="s">
        <v>26</v>
      </c>
      <c r="H56" s="92" t="s">
        <v>202</v>
      </c>
      <c r="I56" s="94" t="s">
        <v>231</v>
      </c>
      <c r="J56" s="94" t="s">
        <v>390</v>
      </c>
      <c r="K56" s="90" t="s">
        <v>71</v>
      </c>
      <c r="L56" s="187" t="s">
        <v>392</v>
      </c>
      <c r="M56" s="187" t="s">
        <v>393</v>
      </c>
      <c r="N56" s="94" t="s">
        <v>269</v>
      </c>
      <c r="O56" s="90" t="s">
        <v>71</v>
      </c>
      <c r="P56" s="98"/>
      <c r="Q56" s="90"/>
      <c r="R56" s="90" t="s">
        <v>71</v>
      </c>
      <c r="S56" s="96"/>
      <c r="T56" s="96"/>
      <c r="U56" s="96"/>
      <c r="V56" s="96"/>
      <c r="W56" s="96"/>
      <c r="X56" s="96"/>
      <c r="Y56" s="96"/>
      <c r="Z56" s="90" t="s">
        <v>429</v>
      </c>
      <c r="AA56" s="96"/>
      <c r="AB56" s="96"/>
      <c r="AC56" s="96"/>
      <c r="AD56" s="96"/>
      <c r="AE56" s="96"/>
      <c r="AF56" s="96"/>
      <c r="AG56" s="96" t="s">
        <v>475</v>
      </c>
    </row>
    <row r="57" spans="2:33" s="95" customFormat="1" ht="139.80000000000001">
      <c r="B57" s="90">
        <f t="shared" si="0"/>
        <v>48</v>
      </c>
      <c r="C57" s="96"/>
      <c r="D57" s="90" t="s">
        <v>160</v>
      </c>
      <c r="E57" s="96"/>
      <c r="F57" s="90" t="s">
        <v>405</v>
      </c>
      <c r="G57" s="90" t="s">
        <v>26</v>
      </c>
      <c r="H57" s="92" t="s">
        <v>205</v>
      </c>
      <c r="I57" s="94" t="s">
        <v>232</v>
      </c>
      <c r="J57" s="94" t="s">
        <v>396</v>
      </c>
      <c r="K57" s="90" t="s">
        <v>71</v>
      </c>
      <c r="L57" s="187" t="s">
        <v>397</v>
      </c>
      <c r="M57" s="187" t="s">
        <v>398</v>
      </c>
      <c r="N57" s="94" t="s">
        <v>270</v>
      </c>
      <c r="O57" s="90" t="s">
        <v>71</v>
      </c>
      <c r="P57" s="98"/>
      <c r="Q57" s="90"/>
      <c r="R57" s="90" t="s">
        <v>71</v>
      </c>
      <c r="S57" s="96"/>
      <c r="T57" s="96"/>
      <c r="U57" s="96"/>
      <c r="V57" s="96"/>
      <c r="W57" s="96"/>
      <c r="X57" s="96"/>
      <c r="Y57" s="96"/>
      <c r="Z57" s="90" t="s">
        <v>429</v>
      </c>
      <c r="AA57" s="96"/>
      <c r="AB57" s="96"/>
      <c r="AC57" s="96"/>
      <c r="AD57" s="96"/>
      <c r="AE57" s="96"/>
      <c r="AF57" s="96"/>
      <c r="AG57" s="96" t="s">
        <v>476</v>
      </c>
    </row>
    <row r="58" spans="2:33" s="95" customFormat="1" ht="110.4">
      <c r="B58" s="90">
        <f t="shared" si="0"/>
        <v>49</v>
      </c>
      <c r="C58" s="96"/>
      <c r="D58" s="90" t="s">
        <v>161</v>
      </c>
      <c r="E58" s="96"/>
      <c r="F58" s="90" t="s">
        <v>406</v>
      </c>
      <c r="G58" s="90" t="s">
        <v>26</v>
      </c>
      <c r="H58" s="92" t="s">
        <v>205</v>
      </c>
      <c r="I58" s="94" t="s">
        <v>233</v>
      </c>
      <c r="J58" s="94" t="s">
        <v>396</v>
      </c>
      <c r="K58" s="90" t="s">
        <v>71</v>
      </c>
      <c r="L58" s="187" t="s">
        <v>397</v>
      </c>
      <c r="M58" s="187" t="s">
        <v>399</v>
      </c>
      <c r="N58" s="94" t="s">
        <v>271</v>
      </c>
      <c r="O58" s="90" t="s">
        <v>71</v>
      </c>
      <c r="P58" s="98"/>
      <c r="Q58" s="90"/>
      <c r="R58" s="90" t="s">
        <v>71</v>
      </c>
      <c r="S58" s="96"/>
      <c r="T58" s="96"/>
      <c r="U58" s="96"/>
      <c r="V58" s="96"/>
      <c r="W58" s="96"/>
      <c r="X58" s="96"/>
      <c r="Y58" s="96"/>
      <c r="Z58" s="90" t="s">
        <v>429</v>
      </c>
      <c r="AA58" s="96"/>
      <c r="AB58" s="96"/>
      <c r="AC58" s="96"/>
      <c r="AD58" s="96"/>
      <c r="AE58" s="96"/>
      <c r="AF58" s="96"/>
      <c r="AG58" s="96" t="s">
        <v>477</v>
      </c>
    </row>
    <row r="59" spans="2:33" s="95" customFormat="1" ht="124.2">
      <c r="B59" s="90">
        <f t="shared" si="0"/>
        <v>50</v>
      </c>
      <c r="C59" s="96"/>
      <c r="D59" s="90" t="s">
        <v>162</v>
      </c>
      <c r="E59" s="96"/>
      <c r="F59" s="90" t="s">
        <v>407</v>
      </c>
      <c r="G59" s="90" t="s">
        <v>26</v>
      </c>
      <c r="H59" s="92" t="s">
        <v>205</v>
      </c>
      <c r="I59" s="94" t="s">
        <v>234</v>
      </c>
      <c r="J59" s="94" t="s">
        <v>396</v>
      </c>
      <c r="K59" s="90" t="s">
        <v>71</v>
      </c>
      <c r="L59" s="187" t="s">
        <v>400</v>
      </c>
      <c r="M59" s="187" t="s">
        <v>401</v>
      </c>
      <c r="N59" s="94" t="s">
        <v>272</v>
      </c>
      <c r="O59" s="90" t="s">
        <v>71</v>
      </c>
      <c r="P59" s="98"/>
      <c r="Q59" s="90"/>
      <c r="R59" s="90" t="s">
        <v>71</v>
      </c>
      <c r="S59" s="96"/>
      <c r="T59" s="96"/>
      <c r="U59" s="96"/>
      <c r="V59" s="96"/>
      <c r="W59" s="96"/>
      <c r="X59" s="96"/>
      <c r="Y59" s="96"/>
      <c r="Z59" s="90" t="s">
        <v>429</v>
      </c>
      <c r="AA59" s="96"/>
      <c r="AB59" s="96"/>
      <c r="AC59" s="96"/>
      <c r="AD59" s="96"/>
      <c r="AE59" s="96"/>
      <c r="AF59" s="96"/>
      <c r="AG59" s="96" t="s">
        <v>478</v>
      </c>
    </row>
    <row r="60" spans="2:33" s="95" customFormat="1" ht="139.80000000000001">
      <c r="B60" s="90">
        <f t="shared" si="0"/>
        <v>51</v>
      </c>
      <c r="C60" s="96"/>
      <c r="D60" s="90" t="s">
        <v>163</v>
      </c>
      <c r="E60" s="96"/>
      <c r="F60" s="90" t="s">
        <v>412</v>
      </c>
      <c r="G60" s="90" t="s">
        <v>26</v>
      </c>
      <c r="H60" s="92" t="s">
        <v>205</v>
      </c>
      <c r="I60" s="94" t="s">
        <v>235</v>
      </c>
      <c r="J60" s="94" t="s">
        <v>396</v>
      </c>
      <c r="K60" s="90" t="s">
        <v>71</v>
      </c>
      <c r="L60" s="187" t="s">
        <v>402</v>
      </c>
      <c r="M60" s="187" t="s">
        <v>403</v>
      </c>
      <c r="N60" s="94" t="s">
        <v>273</v>
      </c>
      <c r="O60" s="90" t="s">
        <v>71</v>
      </c>
      <c r="P60" s="98"/>
      <c r="Q60" s="90"/>
      <c r="R60" s="90" t="s">
        <v>71</v>
      </c>
      <c r="S60" s="96"/>
      <c r="T60" s="96"/>
      <c r="U60" s="96"/>
      <c r="V60" s="96"/>
      <c r="W60" s="96"/>
      <c r="X60" s="96"/>
      <c r="Y60" s="96"/>
      <c r="Z60" s="90" t="s">
        <v>429</v>
      </c>
      <c r="AA60" s="96"/>
      <c r="AB60" s="96"/>
      <c r="AC60" s="96"/>
      <c r="AD60" s="96"/>
      <c r="AE60" s="96"/>
      <c r="AF60" s="96"/>
      <c r="AG60" s="96" t="s">
        <v>479</v>
      </c>
    </row>
    <row r="61" spans="2:33" s="95" customFormat="1" ht="142.19999999999999">
      <c r="B61" s="90">
        <f t="shared" si="0"/>
        <v>52</v>
      </c>
      <c r="C61" s="96"/>
      <c r="D61" s="90" t="s">
        <v>164</v>
      </c>
      <c r="E61" s="96"/>
      <c r="F61" s="90" t="s">
        <v>416</v>
      </c>
      <c r="G61" s="90" t="s">
        <v>26</v>
      </c>
      <c r="H61" s="92" t="s">
        <v>206</v>
      </c>
      <c r="I61" s="94" t="s">
        <v>236</v>
      </c>
      <c r="J61" s="94" t="s">
        <v>409</v>
      </c>
      <c r="K61" s="90" t="s">
        <v>71</v>
      </c>
      <c r="L61" s="187" t="s">
        <v>410</v>
      </c>
      <c r="M61" s="187" t="s">
        <v>411</v>
      </c>
      <c r="N61" s="94" t="s">
        <v>274</v>
      </c>
      <c r="O61" s="90" t="s">
        <v>71</v>
      </c>
      <c r="P61" s="98"/>
      <c r="Q61" s="90"/>
      <c r="R61" s="90" t="s">
        <v>71</v>
      </c>
      <c r="S61" s="96"/>
      <c r="T61" s="96"/>
      <c r="U61" s="96"/>
      <c r="V61" s="96"/>
      <c r="W61" s="96"/>
      <c r="X61" s="96"/>
      <c r="Y61" s="96"/>
      <c r="Z61" s="90" t="s">
        <v>429</v>
      </c>
      <c r="AA61" s="96"/>
      <c r="AB61" s="96"/>
      <c r="AC61" s="96"/>
      <c r="AD61" s="96"/>
      <c r="AE61" s="96"/>
      <c r="AF61" s="96"/>
      <c r="AG61" s="96" t="s">
        <v>480</v>
      </c>
    </row>
    <row r="62" spans="2:33" s="95" customFormat="1" ht="96.6">
      <c r="B62" s="90">
        <f t="shared" si="0"/>
        <v>53</v>
      </c>
      <c r="C62" s="96"/>
      <c r="D62" s="90" t="s">
        <v>165</v>
      </c>
      <c r="E62" s="96"/>
      <c r="F62" s="90" t="s">
        <v>421</v>
      </c>
      <c r="G62" s="90" t="s">
        <v>26</v>
      </c>
      <c r="H62" s="92" t="s">
        <v>206</v>
      </c>
      <c r="I62" s="94" t="s">
        <v>236</v>
      </c>
      <c r="J62" s="94" t="s">
        <v>413</v>
      </c>
      <c r="K62" s="90" t="s">
        <v>71</v>
      </c>
      <c r="L62" s="187" t="s">
        <v>415</v>
      </c>
      <c r="M62" s="187" t="s">
        <v>414</v>
      </c>
      <c r="N62" s="94" t="s">
        <v>274</v>
      </c>
      <c r="O62" s="90" t="s">
        <v>71</v>
      </c>
      <c r="P62" s="98"/>
      <c r="Q62" s="90"/>
      <c r="R62" s="90" t="s">
        <v>71</v>
      </c>
      <c r="S62" s="96"/>
      <c r="T62" s="96"/>
      <c r="U62" s="96"/>
      <c r="V62" s="96"/>
      <c r="W62" s="96"/>
      <c r="X62" s="96"/>
      <c r="Y62" s="96"/>
      <c r="Z62" s="90" t="s">
        <v>429</v>
      </c>
      <c r="AA62" s="96"/>
      <c r="AB62" s="96"/>
      <c r="AC62" s="96"/>
      <c r="AD62" s="96"/>
      <c r="AE62" s="96"/>
      <c r="AF62" s="96"/>
      <c r="AG62" s="96" t="s">
        <v>481</v>
      </c>
    </row>
    <row r="63" spans="2:33" s="95" customFormat="1" ht="140.4">
      <c r="B63" s="90">
        <f t="shared" si="0"/>
        <v>54</v>
      </c>
      <c r="C63" s="96"/>
      <c r="D63" s="90" t="s">
        <v>166</v>
      </c>
      <c r="E63" s="96"/>
      <c r="F63" s="90" t="s">
        <v>422</v>
      </c>
      <c r="G63" s="90" t="s">
        <v>26</v>
      </c>
      <c r="H63" s="92" t="s">
        <v>206</v>
      </c>
      <c r="I63" s="94" t="s">
        <v>237</v>
      </c>
      <c r="J63" s="94" t="s">
        <v>413</v>
      </c>
      <c r="K63" s="90" t="s">
        <v>71</v>
      </c>
      <c r="L63" s="187" t="s">
        <v>417</v>
      </c>
      <c r="M63" s="187" t="s">
        <v>418</v>
      </c>
      <c r="N63" s="94" t="s">
        <v>275</v>
      </c>
      <c r="O63" s="90" t="s">
        <v>279</v>
      </c>
      <c r="P63" s="98"/>
      <c r="Q63" s="90"/>
      <c r="R63" s="90" t="s">
        <v>71</v>
      </c>
      <c r="S63" s="96"/>
      <c r="T63" s="96"/>
      <c r="U63" s="96"/>
      <c r="V63" s="96"/>
      <c r="W63" s="96"/>
      <c r="X63" s="96"/>
      <c r="Y63" s="96"/>
      <c r="Z63" s="90" t="s">
        <v>429</v>
      </c>
      <c r="AA63" s="96"/>
      <c r="AB63" s="96"/>
      <c r="AC63" s="96"/>
      <c r="AD63" s="96"/>
      <c r="AE63" s="96"/>
      <c r="AF63" s="96"/>
      <c r="AG63" s="96" t="s">
        <v>482</v>
      </c>
    </row>
    <row r="64" spans="2:33" s="95" customFormat="1" ht="112.2">
      <c r="B64" s="90">
        <f t="shared" si="0"/>
        <v>55</v>
      </c>
      <c r="C64" s="96"/>
      <c r="D64" s="90" t="s">
        <v>167</v>
      </c>
      <c r="E64" s="96"/>
      <c r="F64" s="90" t="s">
        <v>441</v>
      </c>
      <c r="G64" s="90" t="s">
        <v>26</v>
      </c>
      <c r="H64" s="92" t="s">
        <v>206</v>
      </c>
      <c r="I64" s="94" t="s">
        <v>238</v>
      </c>
      <c r="J64" s="94" t="s">
        <v>413</v>
      </c>
      <c r="K64" s="90" t="s">
        <v>71</v>
      </c>
      <c r="L64" s="187" t="s">
        <v>419</v>
      </c>
      <c r="M64" s="187" t="s">
        <v>420</v>
      </c>
      <c r="N64" s="201" t="s">
        <v>276</v>
      </c>
      <c r="O64" s="90" t="s">
        <v>71</v>
      </c>
      <c r="P64" s="98"/>
      <c r="Q64" s="90"/>
      <c r="R64" s="90" t="s">
        <v>71</v>
      </c>
      <c r="S64" s="96"/>
      <c r="T64" s="96"/>
      <c r="U64" s="96"/>
      <c r="V64" s="96"/>
      <c r="W64" s="96"/>
      <c r="X64" s="96"/>
      <c r="Y64" s="96"/>
      <c r="Z64" s="90" t="s">
        <v>429</v>
      </c>
      <c r="AA64" s="96"/>
      <c r="AB64" s="96"/>
      <c r="AC64" s="96"/>
      <c r="AD64" s="96"/>
      <c r="AE64" s="96"/>
      <c r="AF64" s="96"/>
      <c r="AG64" s="96" t="s">
        <v>483</v>
      </c>
    </row>
    <row r="65" spans="2:33" s="108" customFormat="1" ht="55.2">
      <c r="B65" s="103">
        <f t="shared" si="0"/>
        <v>56</v>
      </c>
      <c r="C65" s="104"/>
      <c r="D65" s="103" t="s">
        <v>168</v>
      </c>
      <c r="E65" s="104"/>
      <c r="F65" s="105"/>
      <c r="G65" s="103" t="s">
        <v>26</v>
      </c>
      <c r="H65" s="104"/>
      <c r="I65" s="106" t="s">
        <v>239</v>
      </c>
      <c r="J65" s="107" t="s">
        <v>484</v>
      </c>
      <c r="K65" s="104"/>
      <c r="L65" s="189"/>
      <c r="M65" s="189"/>
      <c r="N65" s="106" t="s">
        <v>277</v>
      </c>
      <c r="O65" s="104"/>
      <c r="P65" s="105"/>
      <c r="Q65" s="103"/>
      <c r="R65" s="103"/>
      <c r="S65" s="104"/>
      <c r="T65" s="104"/>
      <c r="U65" s="104"/>
      <c r="V65" s="104"/>
      <c r="W65" s="104"/>
      <c r="X65" s="104"/>
      <c r="Y65" s="104"/>
      <c r="Z65" s="104"/>
      <c r="AA65" s="104"/>
      <c r="AB65" s="104"/>
      <c r="AC65" s="104"/>
      <c r="AD65" s="104"/>
      <c r="AE65" s="104"/>
      <c r="AF65" s="104"/>
      <c r="AG65" s="104" t="s">
        <v>436</v>
      </c>
    </row>
    <row r="66" spans="2:33">
      <c r="B66" s="109" t="str">
        <f t="shared" si="0"/>
        <v/>
      </c>
      <c r="C66" s="110"/>
      <c r="D66" s="111"/>
      <c r="E66" s="110"/>
      <c r="F66" s="111"/>
      <c r="G66" s="111"/>
      <c r="H66" s="110"/>
      <c r="I66" s="110"/>
      <c r="J66" s="110"/>
      <c r="K66" s="110"/>
      <c r="L66" s="110"/>
      <c r="M66" s="110"/>
      <c r="N66" s="202"/>
      <c r="O66" s="110"/>
      <c r="P66" s="111"/>
      <c r="Q66" s="109"/>
      <c r="R66" s="110"/>
      <c r="S66" s="110"/>
      <c r="T66" s="110"/>
      <c r="U66" s="110"/>
      <c r="V66" s="110"/>
      <c r="W66" s="110"/>
      <c r="X66" s="110"/>
      <c r="Y66" s="110"/>
      <c r="Z66" s="110"/>
      <c r="AA66" s="110"/>
      <c r="AB66" s="110"/>
      <c r="AC66" s="110"/>
      <c r="AD66" s="110"/>
      <c r="AE66" s="110"/>
      <c r="AF66" s="110"/>
      <c r="AG66" s="110"/>
    </row>
    <row r="67" spans="2:33">
      <c r="B67" s="109" t="str">
        <f t="shared" si="0"/>
        <v/>
      </c>
      <c r="C67" s="110"/>
      <c r="D67" s="111"/>
      <c r="E67" s="110"/>
      <c r="F67" s="111"/>
      <c r="G67" s="111"/>
      <c r="H67" s="110"/>
      <c r="I67" s="110"/>
      <c r="J67" s="110"/>
      <c r="K67" s="110"/>
      <c r="L67" s="110"/>
      <c r="M67" s="110"/>
      <c r="N67" s="202"/>
      <c r="O67" s="110"/>
      <c r="P67" s="111"/>
      <c r="Q67" s="109"/>
      <c r="R67" s="110"/>
      <c r="S67" s="110"/>
      <c r="T67" s="110"/>
      <c r="U67" s="110"/>
      <c r="V67" s="110"/>
      <c r="W67" s="110"/>
      <c r="X67" s="110"/>
      <c r="Y67" s="110"/>
      <c r="Z67" s="110"/>
      <c r="AA67" s="110"/>
      <c r="AB67" s="110"/>
      <c r="AC67" s="110"/>
      <c r="AD67" s="110"/>
      <c r="AE67" s="110"/>
      <c r="AF67" s="110"/>
      <c r="AG67" s="110"/>
    </row>
    <row r="68" spans="2:33">
      <c r="B68" s="109" t="str">
        <f t="shared" si="0"/>
        <v/>
      </c>
      <c r="C68" s="110"/>
      <c r="D68" s="111"/>
      <c r="E68" s="110"/>
      <c r="F68" s="111"/>
      <c r="G68" s="111"/>
      <c r="H68" s="110"/>
      <c r="I68" s="110"/>
      <c r="J68" s="110"/>
      <c r="K68" s="110"/>
      <c r="L68" s="110"/>
      <c r="M68" s="110"/>
      <c r="N68" s="202"/>
      <c r="O68" s="110"/>
      <c r="P68" s="111"/>
      <c r="Q68" s="109"/>
      <c r="R68" s="110"/>
      <c r="S68" s="110"/>
      <c r="T68" s="110"/>
      <c r="U68" s="110"/>
      <c r="V68" s="110"/>
      <c r="W68" s="110"/>
      <c r="X68" s="110"/>
      <c r="Y68" s="110"/>
      <c r="Z68" s="110"/>
      <c r="AA68" s="110"/>
      <c r="AB68" s="110"/>
      <c r="AC68" s="110"/>
      <c r="AD68" s="110"/>
      <c r="AE68" s="110"/>
      <c r="AF68" s="110"/>
      <c r="AG68" s="110"/>
    </row>
    <row r="69" spans="2:33">
      <c r="B69" s="109" t="str">
        <f t="shared" si="0"/>
        <v/>
      </c>
      <c r="C69" s="110"/>
      <c r="D69" s="111"/>
      <c r="E69" s="110"/>
      <c r="F69" s="111"/>
      <c r="G69" s="111"/>
      <c r="H69" s="110"/>
      <c r="I69" s="110"/>
      <c r="J69" s="110"/>
      <c r="K69" s="110"/>
      <c r="L69" s="110"/>
      <c r="M69" s="110"/>
      <c r="N69" s="202"/>
      <c r="O69" s="110"/>
      <c r="P69" s="111"/>
      <c r="Q69" s="109"/>
      <c r="R69" s="110"/>
      <c r="S69" s="110"/>
      <c r="T69" s="110"/>
      <c r="U69" s="110"/>
      <c r="V69" s="110"/>
      <c r="W69" s="110"/>
      <c r="X69" s="110"/>
      <c r="Y69" s="110"/>
      <c r="Z69" s="110"/>
      <c r="AA69" s="110"/>
      <c r="AB69" s="110"/>
      <c r="AC69" s="110"/>
      <c r="AD69" s="110"/>
      <c r="AE69" s="110"/>
      <c r="AF69" s="110"/>
      <c r="AG69" s="110"/>
    </row>
    <row r="70" spans="2:33">
      <c r="B70" s="109" t="str">
        <f t="shared" si="0"/>
        <v/>
      </c>
      <c r="C70" s="110"/>
      <c r="D70" s="111"/>
      <c r="E70" s="110"/>
      <c r="F70" s="111"/>
      <c r="G70" s="111"/>
      <c r="H70" s="110"/>
      <c r="I70" s="110"/>
      <c r="J70" s="110"/>
      <c r="K70" s="110"/>
      <c r="L70" s="110"/>
      <c r="M70" s="110"/>
      <c r="N70" s="202"/>
      <c r="O70" s="110"/>
      <c r="P70" s="111"/>
      <c r="Q70" s="109"/>
      <c r="R70" s="110"/>
      <c r="S70" s="110"/>
      <c r="T70" s="110"/>
      <c r="U70" s="110"/>
      <c r="V70" s="110"/>
      <c r="W70" s="110"/>
      <c r="X70" s="110"/>
      <c r="Y70" s="110"/>
      <c r="Z70" s="110"/>
      <c r="AA70" s="110"/>
      <c r="AB70" s="110"/>
      <c r="AC70" s="110"/>
      <c r="AD70" s="110"/>
      <c r="AE70" s="110"/>
      <c r="AF70" s="110"/>
      <c r="AG70" s="110"/>
    </row>
    <row r="71" spans="2:33">
      <c r="B71" s="109" t="str">
        <f t="shared" si="0"/>
        <v/>
      </c>
      <c r="C71" s="110"/>
      <c r="D71" s="111"/>
      <c r="E71" s="110"/>
      <c r="F71" s="111"/>
      <c r="G71" s="111"/>
      <c r="H71" s="110"/>
      <c r="I71" s="110"/>
      <c r="J71" s="110"/>
      <c r="K71" s="110"/>
      <c r="L71" s="110"/>
      <c r="M71" s="110"/>
      <c r="N71" s="202"/>
      <c r="O71" s="110"/>
      <c r="P71" s="111"/>
      <c r="Q71" s="109"/>
      <c r="R71" s="110"/>
      <c r="S71" s="110"/>
      <c r="T71" s="110"/>
      <c r="U71" s="110"/>
      <c r="V71" s="110"/>
      <c r="W71" s="110"/>
      <c r="X71" s="110"/>
      <c r="Y71" s="110"/>
      <c r="Z71" s="110"/>
      <c r="AA71" s="110"/>
      <c r="AB71" s="110"/>
      <c r="AC71" s="110"/>
      <c r="AD71" s="110"/>
      <c r="AE71" s="110"/>
      <c r="AF71" s="110"/>
      <c r="AG71" s="110"/>
    </row>
  </sheetData>
  <mergeCells count="4">
    <mergeCell ref="S8:Y8"/>
    <mergeCell ref="AA7:AG7"/>
    <mergeCell ref="A1:AD1"/>
    <mergeCell ref="B7:Z7"/>
  </mergeCells>
  <phoneticPr fontId="4" type="noConversion"/>
  <dataValidations count="3">
    <dataValidation type="list" allowBlank="1" showInputMessage="1" showErrorMessage="1" sqref="S10:Y17" xr:uid="{8DE6EB39-B8DC-4E39-86CE-DD1BAF5DF8C0}">
      <formula1>"0,1"</formula1>
    </dataValidation>
    <dataValidation type="list" allowBlank="1" showInputMessage="1" showErrorMessage="1" sqref="AE10:AE17" xr:uid="{048311E4-E013-4A03-BFA3-D625FE35934A}">
      <formula1>"Pass, Fail, Pending,Block,NA"</formula1>
    </dataValidation>
    <dataValidation type="list" allowBlank="1" showInputMessage="1" showErrorMessage="1" sqref="P10:P65" xr:uid="{5DD3AA99-093B-4CA7-9E9B-E13767B364C5}">
      <formula1>"P0,P1,P2,P3"</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6C5EF54-F0EE-4403-B9D9-574A725DE20E}">
          <x14:formula1>
            <xm:f>下拉選單!$A$1:$A$11</xm:f>
          </x14:formula1>
          <xm:sqref>Q10:Q71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defaultColWidth="8.88671875" defaultRowHeight="14.4"/>
  <cols>
    <col min="1" max="2" width="8.88671875" style="22"/>
    <col min="3" max="3" width="46.109375" style="22" customWidth="1"/>
    <col min="4" max="4" width="60.44140625" style="22" customWidth="1"/>
    <col min="5" max="5" width="55.109375" style="22" bestFit="1" customWidth="1"/>
    <col min="6" max="16384" width="8.88671875" style="22"/>
  </cols>
  <sheetData>
    <row r="3" spans="2:6" s="21" customFormat="1">
      <c r="B3" s="21" t="s">
        <v>18</v>
      </c>
      <c r="C3" s="40" t="s">
        <v>73</v>
      </c>
    </row>
    <row r="4" spans="2:6" s="21" customFormat="1">
      <c r="B4" s="21">
        <v>1</v>
      </c>
      <c r="C4" s="30" t="s">
        <v>45</v>
      </c>
    </row>
    <row r="5" spans="2:6" ht="15">
      <c r="B5" s="21">
        <v>2</v>
      </c>
      <c r="C5" s="24" t="s">
        <v>46</v>
      </c>
      <c r="D5" s="24" t="s">
        <v>42</v>
      </c>
      <c r="E5" s="23" t="s">
        <v>34</v>
      </c>
    </row>
    <row r="6" spans="2:6" ht="15">
      <c r="B6" s="21">
        <v>3</v>
      </c>
      <c r="C6" s="23" t="s">
        <v>47</v>
      </c>
      <c r="D6" s="22" t="s">
        <v>31</v>
      </c>
    </row>
    <row r="7" spans="2:6" ht="15">
      <c r="B7" s="21">
        <v>4</v>
      </c>
      <c r="C7" s="23" t="s">
        <v>48</v>
      </c>
      <c r="D7" s="22" t="s">
        <v>32</v>
      </c>
      <c r="E7" s="23" t="s">
        <v>35</v>
      </c>
    </row>
    <row r="8" spans="2:6" ht="15">
      <c r="B8" s="21">
        <v>5</v>
      </c>
      <c r="C8" s="23" t="s">
        <v>49</v>
      </c>
      <c r="D8" s="28" t="s">
        <v>43</v>
      </c>
      <c r="E8" s="23" t="s">
        <v>38</v>
      </c>
    </row>
    <row r="9" spans="2:6" ht="15">
      <c r="B9" s="21">
        <v>6</v>
      </c>
      <c r="C9" s="23" t="s">
        <v>72</v>
      </c>
      <c r="D9" s="23" t="s">
        <v>41</v>
      </c>
      <c r="E9" s="29" t="s">
        <v>37</v>
      </c>
    </row>
    <row r="10" spans="2:6" ht="15">
      <c r="B10" s="21">
        <v>7</v>
      </c>
      <c r="C10" s="23" t="s">
        <v>50</v>
      </c>
      <c r="D10" s="28" t="s">
        <v>33</v>
      </c>
      <c r="E10" s="23" t="s">
        <v>36</v>
      </c>
      <c r="F10" s="25"/>
    </row>
    <row r="11" spans="2:6" ht="15">
      <c r="B11" s="21">
        <v>8</v>
      </c>
      <c r="C11" s="23" t="s">
        <v>51</v>
      </c>
      <c r="D11" s="28" t="s">
        <v>40</v>
      </c>
    </row>
    <row r="12" spans="2:6" ht="15">
      <c r="B12" s="21">
        <v>9</v>
      </c>
      <c r="C12" s="23" t="s">
        <v>52</v>
      </c>
      <c r="D12" s="23" t="s">
        <v>39</v>
      </c>
    </row>
    <row r="13" spans="2:6" ht="15">
      <c r="B13" s="21"/>
      <c r="C13" s="23"/>
      <c r="D13" s="28"/>
    </row>
    <row r="14" spans="2:6">
      <c r="B14" s="21"/>
      <c r="C14" s="23"/>
    </row>
    <row r="16" spans="2:6">
      <c r="D16" s="23"/>
    </row>
    <row r="19" spans="3:3" ht="15">
      <c r="C19" s="26" t="s">
        <v>30</v>
      </c>
    </row>
    <row r="20" spans="3:3">
      <c r="C20" s="27" t="s">
        <v>29</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defaultColWidth="9" defaultRowHeight="15.6"/>
  <cols>
    <col min="1" max="1" width="3.6640625" style="37" customWidth="1"/>
    <col min="2" max="2" width="108" style="38" customWidth="1"/>
    <col min="3" max="16384" width="9" style="38"/>
  </cols>
  <sheetData>
    <row r="1" spans="1:2">
      <c r="A1" s="184" t="s">
        <v>70</v>
      </c>
      <c r="B1" s="184"/>
    </row>
    <row r="2" spans="1:2">
      <c r="A2" s="37">
        <v>1</v>
      </c>
      <c r="B2" s="38" t="s">
        <v>61</v>
      </c>
    </row>
    <row r="3" spans="1:2">
      <c r="A3" s="37">
        <v>2</v>
      </c>
      <c r="B3" s="38" t="s">
        <v>62</v>
      </c>
    </row>
    <row r="4" spans="1:2">
      <c r="A4" s="37">
        <v>3</v>
      </c>
      <c r="B4" s="38" t="s">
        <v>63</v>
      </c>
    </row>
    <row r="5" spans="1:2">
      <c r="A5" s="37">
        <v>4</v>
      </c>
      <c r="B5" s="38" t="s">
        <v>64</v>
      </c>
    </row>
    <row r="6" spans="1:2">
      <c r="A6" s="37">
        <v>5</v>
      </c>
      <c r="B6" s="38" t="s">
        <v>65</v>
      </c>
    </row>
    <row r="7" spans="1:2">
      <c r="A7" s="37">
        <v>6</v>
      </c>
      <c r="B7" s="38" t="s">
        <v>66</v>
      </c>
    </row>
    <row r="8" spans="1:2">
      <c r="A8" s="37">
        <v>7</v>
      </c>
      <c r="B8" s="38" t="s">
        <v>67</v>
      </c>
    </row>
    <row r="9" spans="1:2">
      <c r="A9" s="37">
        <v>8</v>
      </c>
      <c r="B9" s="38" t="s">
        <v>68</v>
      </c>
    </row>
    <row r="10" spans="1:2">
      <c r="A10" s="37">
        <v>9</v>
      </c>
      <c r="B10" s="38" t="s">
        <v>69</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defaultColWidth="8.88671875" defaultRowHeight="16.2"/>
  <sheetData>
    <row r="1" spans="1:1">
      <c r="A1" s="31" t="s">
        <v>53</v>
      </c>
    </row>
    <row r="2" spans="1:1">
      <c r="A2" s="32" t="s">
        <v>59</v>
      </c>
    </row>
    <row r="3" spans="1:1">
      <c r="A3" s="32" t="s">
        <v>54</v>
      </c>
    </row>
    <row r="4" spans="1:1">
      <c r="A4" s="32" t="s">
        <v>55</v>
      </c>
    </row>
    <row r="5" spans="1:1">
      <c r="A5" s="32" t="s">
        <v>60</v>
      </c>
    </row>
    <row r="6" spans="1:1">
      <c r="A6" s="32" t="s">
        <v>74</v>
      </c>
    </row>
    <row r="7" spans="1:1">
      <c r="A7" s="32" t="s">
        <v>56</v>
      </c>
    </row>
    <row r="8" spans="1:1">
      <c r="A8" s="32" t="s">
        <v>57</v>
      </c>
    </row>
    <row r="9" spans="1:1">
      <c r="A9" s="32" t="s">
        <v>58</v>
      </c>
    </row>
    <row r="10" spans="1:1">
      <c r="A10" s="20"/>
    </row>
    <row r="11" spans="1:1">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Specification&amp;Result</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2025-10-30T10:14:24Z</dcterms:modified>
</cp:coreProperties>
</file>