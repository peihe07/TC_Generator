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4_{2C20332C-BBF6-41CD-98DE-A70E3F12BDB8}" xr6:coauthVersionLast="47" xr6:coauthVersionMax="47" xr10:uidLastSave="{00000000-0000-0000-0000-000000000000}"/>
  <bookViews>
    <workbookView xWindow="-108" yWindow="-108" windowWidth="23256" windowHeight="12456" tabRatio="768"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46" l="1"/>
  <c r="B52" i="46"/>
  <c r="B51" i="46"/>
  <c r="B50" i="46"/>
  <c r="B49" i="46"/>
  <c r="B48" i="46"/>
  <c r="B47" i="46"/>
  <c r="B46" i="46"/>
  <c r="B45" i="46"/>
  <c r="B44" i="46"/>
  <c r="B43" i="46"/>
  <c r="B42" i="46"/>
  <c r="B41" i="46"/>
  <c r="B40" i="46"/>
  <c r="B39" i="46"/>
  <c r="B38" i="46"/>
  <c r="B37" i="46"/>
  <c r="B36" i="46"/>
  <c r="B35" i="46"/>
  <c r="B34" i="46"/>
  <c r="B33" i="46"/>
  <c r="B32" i="46"/>
  <c r="B31" i="46"/>
  <c r="B30" i="46"/>
  <c r="B29" i="46"/>
  <c r="B28" i="46"/>
  <c r="B27" i="46"/>
  <c r="B26" i="46"/>
  <c r="B25" i="46"/>
  <c r="B24" i="46"/>
  <c r="B23" i="46"/>
  <c r="B22" i="46"/>
  <c r="B21" i="46"/>
  <c r="B20" i="46"/>
  <c r="B19" i="46"/>
  <c r="B18" i="46"/>
  <c r="B17" i="46"/>
  <c r="B16" i="46"/>
  <c r="B15" i="46"/>
  <c r="B14" i="46"/>
  <c r="B13" i="46"/>
  <c r="B12" i="46"/>
  <c r="B11" i="46"/>
  <c r="B10" i="46"/>
  <c r="B56" i="46" l="1"/>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55" i="46" l="1"/>
  <c r="B54"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indexed="81"/>
            <rFont val="Tahoma"/>
            <family val="2"/>
          </rPr>
          <t>作者:</t>
        </r>
        <r>
          <rPr>
            <sz val="9"/>
            <color indexed="81"/>
            <rFont val="Tahoma"/>
            <family val="2"/>
          </rPr>
          <t xml:space="preserve">
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<sst xmlns="http://schemas.openxmlformats.org/spreadsheetml/2006/main" count="1343" uniqueCount="692">
  <si>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</si>
  <si>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</si>
  <si>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</si>
  <si>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</si>
  <si>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</si>
  <si>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</si>
  <si>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</si>
  <si>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</si>
  <si>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</si>
  <si>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</si>
  <si>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</si>
  <si>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</si>
  <si>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</si>
  <si>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</si>
  <si>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</si>
  <si>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</si>
  <si>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</si>
  <si>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</si>
  <si>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</si>
  <si>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</si>
  <si>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</si>
  <si>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</si>
  <si>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</si>
  <si>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</si>
  <si>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</si>
  <si>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</si>
  <si>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</si>
  <si>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</si>
  <si>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</si>
  <si>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</si>
  <si>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</si>
  <si>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</si>
  <si>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</si>
  <si>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</si>
  <si>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</si>
  <si>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</si>
  <si>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</si>
  <si>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</si>
  <si>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</si>
  <si>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</si>
  <si>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</si>
  <si>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</si>
  <si>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</si>
  <si>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</si>
  <si>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</si>
  <si>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</si>
  <si>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</si>
  <si>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</si>
  <si>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</si>
  <si>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</si>
  <si>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</si>
  <si>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</si>
  <si>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</si>
  <si>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</si>
  <si>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</si>
  <si>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</si>
  <si>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</si>
  <si>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</si>
  <si>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</si>
  <si>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</si>
  <si>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</si>
  <si>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</si>
  <si>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</si>
  <si>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</si>
  <si>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</si>
  <si>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</si>
  <si>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</si>
  <si>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</si>
  <si>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</si>
  <si>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</si>
  <si>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</si>
  <si>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</si>
  <si>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</si>
  <si>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</si>
  <si>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</si>
  <si>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</si>
  <si>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</si>
  <si>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</si>
  <si>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</si>
  <si>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</si>
  <si>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</si>
  <si>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</si>
  <si>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</si>
  <si>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</si>
  <si>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</si>
  <si>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</si>
  <si>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</si>
  <si>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</si>
  <si>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</si>
  <si>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</si>
  <si>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</si>
  <si>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</si>
  <si>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</si>
  <si>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</si>
  <si>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</si>
  <si>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</si>
  <si>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</si>
  <si>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</si>
  <si>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</si>
  <si>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</si>
  <si>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</si>
  <si>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</si>
  <si>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</si>
  <si>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</si>
  <si>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</si>
  <si>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</si>
  <si>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</si>
  <si>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</si>
  <si>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</si>
  <si>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</si>
  <si>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</si>
  <si>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</si>
  <si>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</si>
  <si>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</si>
  <si>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</si>
  <si>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</si>
  <si>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</si>
  <si>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</si>
  <si>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</si>
  <si>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</si>
  <si>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</si>
  <si>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</si>
  <si>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</si>
  <si>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</si>
  <si>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</si>
  <si>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</si>
  <si>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</si>
  <si>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</si>
  <si>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</si>
  <si>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</si>
  <si>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</si>
  <si>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</si>
  <si>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</si>
  <si>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</si>
  <si>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</si>
  <si>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</si>
  <si>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</si>
  <si>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</si>
  <si>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</si>
  <si>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</si>
  <si>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</si>
  <si>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</si>
  <si>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Test Case Reference ID
</t>
    </r>
    <r>
      <rPr>
        <sz val="10"/>
        <color rgb="FF0432FF"/>
        <rFont val="新細明體"/>
        <family val="1"/>
        <charset val="136"/>
      </rPr>
      <t>測項參考</t>
    </r>
    <r>
      <rPr>
        <sz val="10"/>
        <color rgb="FF0432FF"/>
        <rFont val="Times New Roman"/>
        <family val="1"/>
      </rPr>
      <t>ID</t>
    </r>
    <phoneticPr fontId="4"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</si>
  <si>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</si>
  <si>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FM-WI-SW-PSCFTS026-HFP-A01</t>
    <phoneticPr fontId="4" type="noConversion"/>
  </si>
  <si>
    <t xml:space="preserve">SWE1-HFP-001-01 </t>
    <phoneticPr fontId="4" type="noConversion"/>
  </si>
  <si>
    <t xml:space="preserve">SWE1-HFP-001-02 </t>
    <phoneticPr fontId="4" type="noConversion"/>
  </si>
  <si>
    <t xml:space="preserve">SWE1-HFP-001-03 </t>
    <phoneticPr fontId="4" type="noConversion"/>
  </si>
  <si>
    <t xml:space="preserve">SWE1-HFP-001-04 </t>
    <phoneticPr fontId="4" type="noConversion"/>
  </si>
  <si>
    <t xml:space="preserve">SWE1-HFP-001-05 </t>
    <phoneticPr fontId="4" type="noConversion"/>
  </si>
  <si>
    <t xml:space="preserve">SWE1-HFP-002-01 </t>
    <phoneticPr fontId="4" type="noConversion"/>
  </si>
  <si>
    <t xml:space="preserve">SWE1-HFP-002-02 </t>
    <phoneticPr fontId="4" type="noConversion"/>
  </si>
  <si>
    <t xml:space="preserve">SWE1-HFP-002-03 </t>
    <phoneticPr fontId="4" type="noConversion"/>
  </si>
  <si>
    <t xml:space="preserve">SWE1-HFP-003-01 </t>
    <phoneticPr fontId="4" type="noConversion"/>
  </si>
  <si>
    <t xml:space="preserve">SWE1-HFP-003-02 </t>
    <phoneticPr fontId="4" type="noConversion"/>
  </si>
  <si>
    <t xml:space="preserve">SWE1-HFP-004-01 </t>
    <phoneticPr fontId="4" type="noConversion"/>
  </si>
  <si>
    <t xml:space="preserve">SWE1-HFP-004-02 </t>
    <phoneticPr fontId="4" type="noConversion"/>
  </si>
  <si>
    <t xml:space="preserve">SWE1-HFP-005 - 01 </t>
    <phoneticPr fontId="4" type="noConversion"/>
  </si>
  <si>
    <t xml:space="preserve">SWE1-HFP-005-02 </t>
    <phoneticPr fontId="4" type="noConversion"/>
  </si>
  <si>
    <t xml:space="preserve">SWE1-HFP-006-01 </t>
    <phoneticPr fontId="4" type="noConversion"/>
  </si>
  <si>
    <t xml:space="preserve">SWE1-HFP-006-02 </t>
    <phoneticPr fontId="4" type="noConversion"/>
  </si>
  <si>
    <t xml:space="preserve">SWE1-HFP-006-03 </t>
    <phoneticPr fontId="4" type="noConversion"/>
  </si>
  <si>
    <t xml:space="preserve">SWE1-HFP-006-04 </t>
    <phoneticPr fontId="4" type="noConversion"/>
  </si>
  <si>
    <t xml:space="preserve">SWE1-HFP-007 </t>
    <phoneticPr fontId="4" type="noConversion"/>
  </si>
  <si>
    <t xml:space="preserve">SWE1-HFP-008 </t>
    <phoneticPr fontId="4" type="noConversion"/>
  </si>
  <si>
    <t xml:space="preserve">SWE1-HFP-009-01 </t>
    <phoneticPr fontId="4" type="noConversion"/>
  </si>
  <si>
    <t xml:space="preserve">SWE1-HFP-009-02 </t>
    <phoneticPr fontId="4" type="noConversion"/>
  </si>
  <si>
    <t xml:space="preserve">SWE1-HFP-010 </t>
    <phoneticPr fontId="4" type="noConversion"/>
  </si>
  <si>
    <t xml:space="preserve">SWE1-HFP-011-01 </t>
    <phoneticPr fontId="4" type="noConversion"/>
  </si>
  <si>
    <t xml:space="preserve">SWE1-HFP-011-02 </t>
    <phoneticPr fontId="4" type="noConversion"/>
  </si>
  <si>
    <t xml:space="preserve">SWE1-HFP-012-01 </t>
    <phoneticPr fontId="4" type="noConversion"/>
  </si>
  <si>
    <t xml:space="preserve">SWE1-HFP-012-02 </t>
    <phoneticPr fontId="4" type="noConversion"/>
  </si>
  <si>
    <t xml:space="preserve">SWE1-HFP-013 </t>
    <phoneticPr fontId="4" type="noConversion"/>
  </si>
  <si>
    <t>SWE1-HFP-014</t>
    <phoneticPr fontId="4" type="noConversion"/>
  </si>
  <si>
    <t xml:space="preserve">SWE1-HFP-015-01 </t>
    <phoneticPr fontId="4" type="noConversion"/>
  </si>
  <si>
    <t xml:space="preserve">SWE1-HFP-015-02 </t>
    <phoneticPr fontId="4" type="noConversion"/>
  </si>
  <si>
    <t xml:space="preserve">SWE1-HFP-016 </t>
    <phoneticPr fontId="4" type="noConversion"/>
  </si>
  <si>
    <t xml:space="preserve">SWE1-HFP-017-01 </t>
    <phoneticPr fontId="4" type="noConversion"/>
  </si>
  <si>
    <t xml:space="preserve">SWE1-HFP-017-02 </t>
    <phoneticPr fontId="4" type="noConversion"/>
  </si>
  <si>
    <t>SWE1-HFP-018</t>
    <phoneticPr fontId="4" type="noConversion"/>
  </si>
  <si>
    <t>SWE1-HFP-019</t>
    <phoneticPr fontId="4" type="noConversion"/>
  </si>
  <si>
    <t>SWE1-HFP-020</t>
    <phoneticPr fontId="4" type="noConversion"/>
  </si>
  <si>
    <t xml:space="preserve">SWE1-HFP-021 </t>
    <phoneticPr fontId="4" type="noConversion"/>
  </si>
  <si>
    <t xml:space="preserve">SWE1-HFP-022 </t>
    <phoneticPr fontId="4" type="noConversion"/>
  </si>
  <si>
    <t xml:space="preserve">SWE1-HFP-023 </t>
    <phoneticPr fontId="4" type="noConversion"/>
  </si>
  <si>
    <t xml:space="preserve">SWE1-HFP-024 </t>
    <phoneticPr fontId="4" type="noConversion"/>
  </si>
  <si>
    <t xml:space="preserve">SWE1-HFP-025-01 </t>
    <phoneticPr fontId="4" type="noConversion"/>
  </si>
  <si>
    <t xml:space="preserve">SWE1-HFP-025-02 </t>
    <phoneticPr fontId="4" type="noConversion"/>
  </si>
  <si>
    <t xml:space="preserve">SWE1-HFP-026-01 </t>
    <phoneticPr fontId="4" type="noConversion"/>
  </si>
  <si>
    <t xml:space="preserve">SWE1-HFP-026-02 </t>
    <phoneticPr fontId="4" type="noConversion"/>
  </si>
  <si>
    <t xml:space="preserve">Table {CFTS026-1185} Phone Book and Call Logs Constants Table 
Name of constant: The name of constant used in features.
Value: Value of constant
Unit: Unit of constant
 &lt;MaxCount-AddressBookEntries&gt; | 5000 | records </t>
    <phoneticPr fontId="4" type="noConversion"/>
  </si>
  <si>
    <t xml:space="preserve">Table {CFTS026-1185} Phone Book and Call Logs Constants Table 
Name of constant: The name of constant used in features.
Value: Value of constant
Unit: Unit of constant 
 &lt;MaxCount-OutgoingCallLogEntries&gt; | 60 | records </t>
    <phoneticPr fontId="4" type="noConversion"/>
  </si>
  <si>
    <t xml:space="preserve">Table {CFTS026-1185} Phone Book and Call Logs Constants Table 
Name of constant: The name of constant used in features.
Value: Value of constant
Unit: Unit of constant
 &lt;MaxCount-IncomingCallLogEntries&gt; | 60 | records </t>
    <phoneticPr fontId="4" type="noConversion"/>
  </si>
  <si>
    <t xml:space="preserve">Table {CFTS026-1185} Phone Book and Call Logs Constants Table 
Name of constant: The name of constant used in features.
Value: Value of constant
Unit: Unit of constant
 &lt;MaxCount-MissedCallLogEntries&gt; | 60 | records </t>
    <phoneticPr fontId="4" type="noConversion"/>
  </si>
  <si>
    <t xml:space="preserve">Table {CFTS026-1185} Phone Book and Call Logs Constants Table 
Name of constant: The name of constant used in features.
Value: Value of constant
Unit: Unit of constant
 &lt;MaxCount-AllCallLogEntries&gt; | 180 | records </t>
    <phoneticPr fontId="4" type="noConversion"/>
  </si>
  <si>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phoneticPr fontId="4" type="noConversion"/>
  </si>
  <si>
    <t xml:space="preserve">The HU shall retrieve a maximum of &lt;MaxCount-IncomingCallLogEntries&gt; Incoming Call Log records per BT device. The HU shall stop downloading Incoming Call Log record after receiving the maximum records and so shall allow the user to access just the first set of call log records in whatever order it were received. </t>
    <phoneticPr fontId="4" type="noConversion"/>
  </si>
  <si>
    <t xml:space="preserve">The HU shall retrieve a maximum of &lt;MaxCount-MissedCallLogEntries&gt; Missed Call Log records per BT device. The HU shall stop downloading Missed Call Log record after receiving the maximum records and so shall allow the user to access just the first set of call log records in whatever order it were received. </t>
    <phoneticPr fontId="4" type="noConversion"/>
  </si>
  <si>
    <t xml:space="preserve">The HU shall create the 'All Call Logs' list by analyzing the time stamps of the Outgoing, Incoming and Missed Call log entries. </t>
    <phoneticPr fontId="4" type="noConversion"/>
  </si>
  <si>
    <t xml:space="preserve">The HU shall create the 'All Call Logs' list and shall limit the All Call Logs list to the most recent &lt;MaxCount-AllCallLogEntries&gt; records. </t>
    <phoneticPr fontId="4" type="noConversion"/>
  </si>
  <si>
    <t xml:space="preserve">The HU shall support the transfer of an 'External Downloaded Phone Book' (a.k.a. 'Mobile') that is stored on a BT enabled device when that device supports the PBAP and/or OBEX profiles. </t>
    <phoneticPr fontId="4" type="noConversion"/>
  </si>
  <si>
    <t xml:space="preserve">The HU shall display phone numbers using the folders with the downloaded phone book named 'Mobile'. </t>
    <phoneticPr fontId="4" type="noConversion"/>
  </si>
  <si>
    <t>As defined in HMI Rule PBB10.3 (Vehicles with embedded phone E-Call/Assist-Call features should not display the Roadside Assistance and Emergency numbers) if the HU supports the E-Call/Assist-Call features then it shall not display the 'Emergency' and the 'Towing Assistance' phone numbers within the Favorites folder.</t>
    <phoneticPr fontId="4" type="noConversion"/>
  </si>
  <si>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These 2 phone numbers shall be stored as 'Other' phone numbers. See the latest version of [R1 Market Configuration Table], 'Value in &lt;DEST&gt; signal' vs. 'Emergency/Towing Assistance phone #s' for the default values. </t>
    <phoneticPr fontId="4" type="noConversion"/>
  </si>
  <si>
    <t xml:space="preserve">The system shall be capable of displaying Caller ID information on the Radio display. The Caller ID name (if available) of the far-side phone that is placing the Incoming Call shall be displayed as defined in the latest version of the related HMI document. </t>
    <phoneticPr fontId="4" type="noConversion"/>
  </si>
  <si>
    <t xml:space="preserve">The most current Bluetooth Automotive SIG release of Bluetooth Profiles that support required radio features shall be monitored for and responded to by the supplier per the process defined by {CFTS026-779}. </t>
    <phoneticPr fontId="4" type="noConversion"/>
  </si>
  <si>
    <t>The HU shall provide a HU HMI to allow adding an un-paired Bluetooth CE device.</t>
    <phoneticPr fontId="4" type="noConversion"/>
  </si>
  <si>
    <t xml:space="preserve">The HU shall provide a HU HMI to allow deleting a previously paired Bluetooth device. </t>
    <phoneticPr fontId="4" type="noConversion"/>
  </si>
  <si>
    <t xml:space="preserve">The HU shall connect to the device depending on the enabled functions and the currently connected device. </t>
    <phoneticPr fontId="4" type="noConversion"/>
  </si>
  <si>
    <t xml:space="preserve">If Bluetooth Phone is enabled for that device and the HU is not currently connected to Projection or HFP, the HU shall connect to the device as an HFP device. </t>
    <phoneticPr fontId="4" type="noConversion"/>
  </si>
  <si>
    <t>If BTSA is enabled for that device and the HU is not currently connected to BTSA or Projection, the HU shall connect to the device as a BTSA device.</t>
    <phoneticPr fontId="4" type="noConversion"/>
  </si>
  <si>
    <t xml:space="preserve">The HU shall provide a softkey to request to List All Phone Numbers for a name. </t>
    <phoneticPr fontId="4" type="noConversion"/>
  </si>
  <si>
    <t xml:space="preserve">The HU shall provide a softkey to request to CALL a phone number from the list. </t>
    <phoneticPr fontId="4" type="noConversion"/>
  </si>
  <si>
    <t>HandsFreePhone</t>
    <phoneticPr fontId="4" type="noConversion"/>
  </si>
  <si>
    <t>CFTS026-4924160</t>
    <phoneticPr fontId="4" type="noConversion"/>
  </si>
  <si>
    <t>CFTS026-4924192</t>
    <phoneticPr fontId="4" type="noConversion"/>
  </si>
  <si>
    <t>CFTS026-4924193</t>
    <phoneticPr fontId="4" type="noConversion"/>
  </si>
  <si>
    <t>CFTS026-4924163</t>
    <phoneticPr fontId="4" type="noConversion"/>
  </si>
  <si>
    <t>CFTS026-4924177</t>
    <phoneticPr fontId="4" type="noConversion"/>
  </si>
  <si>
    <t>CFTS026-4924182</t>
    <phoneticPr fontId="4" type="noConversion"/>
  </si>
  <si>
    <t>CFTS026-4924019</t>
    <phoneticPr fontId="4" type="noConversion"/>
  </si>
  <si>
    <t>CFTS026-4924073</t>
    <phoneticPr fontId="4" type="noConversion"/>
  </si>
  <si>
    <t>CFTS026-4923909</t>
    <phoneticPr fontId="4" type="noConversion"/>
  </si>
  <si>
    <t>CFTS026-4923926</t>
    <phoneticPr fontId="4" type="noConversion"/>
  </si>
  <si>
    <t>CFTS026-4923962</t>
    <phoneticPr fontId="4" type="noConversion"/>
  </si>
  <si>
    <t>CFTS026-4923957</t>
    <phoneticPr fontId="4" type="noConversion"/>
  </si>
  <si>
    <t>CFTS026-4924151</t>
    <phoneticPr fontId="4" type="noConversion"/>
  </si>
  <si>
    <t>CFTS026-4924266</t>
    <phoneticPr fontId="4" type="noConversion"/>
  </si>
  <si>
    <t xml:space="preserve">CFTS026-4924396 
CFTS026-4924385 </t>
    <phoneticPr fontId="4" type="noConversion"/>
  </si>
  <si>
    <t>CFTS026-4924287</t>
    <phoneticPr fontId="4" type="noConversion"/>
  </si>
  <si>
    <t>CFTS026-4924304</t>
    <phoneticPr fontId="4" type="noConversion"/>
  </si>
  <si>
    <t>CFTS026-4924350</t>
    <phoneticPr fontId="4" type="noConversion"/>
  </si>
  <si>
    <t>CFTS026-4924352</t>
    <phoneticPr fontId="4" type="noConversion"/>
  </si>
  <si>
    <t>CFTS026-4924353</t>
    <phoneticPr fontId="4" type="noConversion"/>
  </si>
  <si>
    <t>CFTS026-4924187</t>
    <phoneticPr fontId="4" type="noConversion"/>
  </si>
  <si>
    <t>CFTS026-4924189</t>
    <phoneticPr fontId="4" type="noConversion"/>
  </si>
  <si>
    <t>CFTS026-4924174</t>
    <phoneticPr fontId="4" type="noConversion"/>
  </si>
  <si>
    <t>CFTS026-4924041</t>
    <phoneticPr fontId="4" type="noConversion"/>
  </si>
  <si>
    <t>CFTS026-4924047</t>
    <phoneticPr fontId="4" type="noConversion"/>
  </si>
  <si>
    <t>newR1L-HFP-001</t>
    <phoneticPr fontId="4" type="noConversion"/>
  </si>
  <si>
    <t>CFTS026-4924349</t>
    <phoneticPr fontId="4" type="noConversion"/>
  </si>
  <si>
    <t>1. App Drawer page is displayed.
2. Device Manager page is displayed.
3. The Phone is paired and Bluetooth is connected.
4. Phone page is displayed.
5. Phone status information bar is displayed at the bottom of the phone page.
6. The content of Phone status information bar displayed as below
a. Battery Strength icon
b. WiFi Signal  Strength icon</t>
    <phoneticPr fontId="4" type="noConversion"/>
  </si>
  <si>
    <r>
      <t xml:space="preserve">1. Press "Apps" button on menu bar.
2. Press "Device Manager" app.
3. Pairing a phone that </t>
    </r>
    <r>
      <rPr>
        <b/>
        <sz val="10"/>
        <rFont val="Times New Roman"/>
        <family val="1"/>
      </rPr>
      <t>Not</t>
    </r>
    <r>
      <rPr>
        <sz val="10"/>
        <rFont val="Times New Roman"/>
        <family val="1"/>
      </rPr>
      <t xml:space="preserve"> supports status information via Bluetooth.
4. Press "Phone" app on menu bar to go to Phone page.
5. Check the Phone status information bar
6. Check the content of the Phone status information bar.</t>
    </r>
    <phoneticPr fontId="4" type="noConversion"/>
  </si>
  <si>
    <t>1. Press "Apps" button on menu bar.
2. Press "Device Manager" app.
3. Pairing a phone that supports status information via Bluetooth.
4. Press "Phone" app on menu bar to go to Phone page.
5. Check the Phone status information bar
6. Check the content of the Phone status information bar.</t>
    <phoneticPr fontId="4" type="noConversion"/>
  </si>
  <si>
    <t>1. App Drawer page is displayed.
2. Device Manager page is displayed.
3. The Phone is paired.
4. Phone page is displayed.
5. Phone status information bar is displayed at the bottom of the phone page.
6. No status information icon displayed on Phone status information bar.</t>
    <phoneticPr fontId="4" type="noConversion"/>
  </si>
  <si>
    <t xml:space="preserve">1. Press "Apps" button on menu bar.
2. Press "Device Manager" app.
3. Pairing a phone via Bluetooth.
4. Set the device's battery level to 90%.
5. Press "Phone" app to check the Battery level icon.
6. Set the device's battery level to 20%.
7. Check the Battery level icon.
8. Charge the device and check the battery level icon.
</t>
    <phoneticPr fontId="4" type="noConversion"/>
  </si>
  <si>
    <t>1. App Drawer page is displayed.
2. Device Manager page is displayed.
3. The Phone is paired.
4. Battery level is set to 90%.
5. The battery level is displayed as a 90% icon.
6. Battery level is set to 20%.
7. The battery level is displayed as a 20% icon.
8. The battery level is displayed as a green charging icon.</t>
    <phoneticPr fontId="4" type="noConversion"/>
  </si>
  <si>
    <t>1. Press "Apps" button on menu bar.
2. Press "Device Manager" app.
3. Pairing a phone via Bluetooth.
4. Send the Excellent Signal from device.
5. Press "Phone" app to check the Signal Strength icon.
6. Send the Weak Signal from device and check the Signal Strength icon.
7. Send the Roam Signal from device and check the Signal Strength icon.</t>
    <phoneticPr fontId="4" type="noConversion"/>
  </si>
  <si>
    <t>1. App Drawer page is displayed.
2. Device Manager page is displayed.
3. The Phone is paired.
4. Excellent Signal is sent by Device.
5. The Signal Strength icon displayed in Excellent status.
6. The Signal Strength icon displayed in Weak status.
7. The Signal Strength icon displayed in Roaming status.</t>
    <phoneticPr fontId="4" type="noConversion"/>
  </si>
  <si>
    <t>newR1L-HFP-003</t>
  </si>
  <si>
    <t>newR1L-HFP-004</t>
  </si>
  <si>
    <t>Status Information</t>
    <phoneticPr fontId="4" type="noConversion"/>
  </si>
  <si>
    <t>Voice recognition</t>
    <phoneticPr fontId="4" type="noConversion"/>
  </si>
  <si>
    <r>
      <t xml:space="preserve">The HU shall display a touchscreen softkey (labeled with a Microphone Icon) and shall provide a VR command (if VR is available and when a Phone Call is In Progress). 
</t>
    </r>
    <r>
      <rPr>
        <b/>
        <sz val="10"/>
        <rFont val="Times New Roman"/>
        <family val="1"/>
      </rPr>
      <t>Microphone soft key display during Phone Call</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</si>
  <si>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rFont val="Times New Roman"/>
        <family val="1"/>
      </rPr>
      <t>Change of Battery Strength</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</si>
  <si>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rFont val="Times New Roman"/>
        <family val="1"/>
      </rPr>
      <t>Change of WiFi Signal Strength (Roam Signal)</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</si>
  <si>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rFont val="Times New Roman"/>
        <family val="1"/>
      </rPr>
      <t>Not Display Mobile Phone Status for Unsupported Devices</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</si>
  <si>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rFont val="Times New Roman"/>
        <family val="1"/>
      </rPr>
      <t>Display Phone Status for Supported Devices</t>
    </r>
    <phoneticPr fontId="4" type="noConversion"/>
  </si>
  <si>
    <t>1. Press "Apps" button on menu bar.
2. Press "Device Manager" app.
3. Pairing a phone via Bluetooth.
4. Make a Call.
5. Press "Microphone" soft key to trigger the VR.</t>
    <phoneticPr fontId="4" type="noConversion"/>
  </si>
  <si>
    <t>1. App Drawer page is displayed.
2. Device Manager page is displayed.
3. The Phone is paired.
4. Call is connected.
5. VR has been launched.</t>
    <phoneticPr fontId="4" type="noConversion"/>
  </si>
  <si>
    <t>1. App Drawer page is displayed.
2. Device Manager page is displayed.
3. The Phone is paired.
4. Call is connected.
5. VR has been launched.
6. The Phone Call status is muted.
7. VR has been launched.
8. The Phone Call status is Unmuted.</t>
    <phoneticPr fontId="4" type="noConversion"/>
  </si>
  <si>
    <t>1. Press "Apps" button on menu bar.
2. Press "Device Manager" app.
3. Pairing a phone via Bluetooth.
4. Make an Outgoing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</si>
  <si>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Receive an Incoming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</si>
  <si>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Make an Outgoing Call.
5. Press "Hold" button to hold the progress call
6. Press "Microphone" soft key to trigger the VR.
7. Say "Mute" to Microphone.
8. Press "Microphone" soft key again to trigger the VR.
9. Say "Unmute" to Microphone.</t>
    <phoneticPr fontId="4" type="noConversion"/>
  </si>
  <si>
    <t>1. App Drawer page is displayed.
2. Device Manager page is displayed.
3. The Phone is paired.
4. Call is connected.
5. The Call is held.
6. VR has been launched.
7. The Phone Call status is muted.
8. VR has been launched.
9. The Phone Call status is Unmuted.</t>
    <phoneticPr fontId="4" type="noConversion"/>
  </si>
  <si>
    <t>newR1L-HFP-005</t>
  </si>
  <si>
    <t>newR1L-HFP-006</t>
  </si>
  <si>
    <t>newR1L-HFP-007</t>
  </si>
  <si>
    <t>newR1L-HFP-008</t>
  </si>
  <si>
    <t>newR1L-HFP-009</t>
  </si>
  <si>
    <t>newR1L-HFP-010</t>
  </si>
  <si>
    <t>newR1L-HFP-011</t>
  </si>
  <si>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Times New Roman"/>
        <family val="1"/>
      </rPr>
      <t>Phone Number Display of Imcoming Call (NAFTA)</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</si>
  <si>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Times New Roman"/>
        <family val="1"/>
      </rPr>
      <t>Phone Number Display of Imcoming Call (Non-NAFTA)</t>
    </r>
    <phoneticPr fontId="4" type="noConversion"/>
  </si>
  <si>
    <t>1. Press "Apps" button on menu bar.
2. Press "Device Manager" app.
3. Pairing a phone via Bluetooth.
4. Receive a call from a non-contact and check the pop up.</t>
    <phoneticPr fontId="4" type="noConversion"/>
  </si>
  <si>
    <t>1. App Drawer page is displayed.
2. Device Manager page is displayed.
3. The Phone is paired.
4. Phone numbers is displayed and separated by hyphens. (xxx-xxx-xxxx)</t>
    <phoneticPr fontId="4" type="noConversion"/>
  </si>
  <si>
    <t>1. App Drawer page is displayed.
2. Device Manager page is displayed.
3. The Phone is paired.
4. Phone numbers is displayed as a single string. (xxxxxxxxxx)</t>
    <phoneticPr fontId="4" type="noConversion"/>
  </si>
  <si>
    <t>newR1L-HFP-012</t>
  </si>
  <si>
    <t>newR1L-HFP-013</t>
  </si>
  <si>
    <t>Contact</t>
    <phoneticPr fontId="4" type="noConversion"/>
  </si>
  <si>
    <t>1. Press "Apps" button on menu bar.
2. Press "Device Manager" app.
3. Pairing a phone via Bluetooth.
4. Receive a call from a Contact and check the pop up.</t>
    <phoneticPr fontId="4" type="noConversion"/>
  </si>
  <si>
    <t>1. App Drawer page is displayed.
2. Device Manager page is displayed.
3. The Phone is paired.
4. Contact Name is displayed on incoming call pop up.</t>
    <phoneticPr fontId="4" type="noConversion"/>
  </si>
  <si>
    <r>
      <t xml:space="preserve">The "Browsing Enable" PROXI parameter is used to inform about the presence/absence of the browsing functionality 
</t>
    </r>
    <r>
      <rPr>
        <b/>
        <sz val="10"/>
        <rFont val="Times New Roman"/>
        <family val="1"/>
      </rPr>
      <t>Browsing functionality is Enabled when PROXI "Browsing Enable" is in Presence mode.</t>
    </r>
    <phoneticPr fontId="4" type="noConversion"/>
  </si>
  <si>
    <r>
      <t xml:space="preserve">The "Browsing Enable" PROXI parameter is used to inform about the presence/absence of the browsing functionality 
</t>
    </r>
    <r>
      <rPr>
        <b/>
        <sz val="10"/>
        <rFont val="Times New Roman"/>
        <family val="1"/>
      </rPr>
      <t>Browsing functionality is Disabled when PROXI "Browsing Enable" is in Absence mode.</t>
    </r>
    <phoneticPr fontId="4" type="noConversion"/>
  </si>
  <si>
    <t>1. App Drawer page is displayed.
2. Device Manager page is displayed.
3. The Phone is paired.
4. Phone page is displayed.
5. Contact page is displayed.
6. Keyboard is extended.
7. The results related to the inputed Alpha(s) is displayed in the contact list.</t>
    <phoneticPr fontId="4" type="noConversion"/>
  </si>
  <si>
    <r>
      <t xml:space="preserve">The "Browsing Enable" PROXI parameter is used to inform about the presence/absence of the browsing functionality 
</t>
    </r>
    <r>
      <rPr>
        <b/>
        <sz val="10"/>
        <rFont val="Times New Roman"/>
        <family val="1"/>
      </rPr>
      <t>Alpha search</t>
    </r>
    <phoneticPr fontId="4" type="noConversion"/>
  </si>
  <si>
    <r>
      <t xml:space="preserve">The "Browsing Enable" PROXI parameter is used to inform about the presence/absence of the browsing functionality 
</t>
    </r>
    <r>
      <rPr>
        <b/>
        <sz val="10"/>
        <rFont val="Times New Roman"/>
        <family val="1"/>
      </rPr>
      <t>Alpha jump</t>
    </r>
    <phoneticPr fontId="4" type="noConversion"/>
  </si>
  <si>
    <t>1. App Drawer page is displayed.
2. Device Manager page is displayed.
3. The Phone is paired.
4. Phone page is displayed.
5. Contact page is displayed.
6. "Search field" and "Alpha jump button" are displayed in contact page.</t>
    <phoneticPr fontId="4" type="noConversion"/>
  </si>
  <si>
    <t>New</t>
    <phoneticPr fontId="4" type="noConversion"/>
  </si>
  <si>
    <t>1. Press "Apps" button on menu bar.
2. Press "Device Manager" app.
3. Pairing a phone via Bluetooth.
4. Press "Phone" app to go to Phone page.
5. Press "Contact" menu item
6. Press Search bar on Contact page.
7. Input Alpha on the search field and start search(e.g. [A])</t>
    <phoneticPr fontId="4" type="noConversion"/>
  </si>
  <si>
    <t xml:space="preserve">1. Press "Apps" button on menu bar.
2. Press "Device Manager" app.
3. Pairing a phone via Bluetooth.
4. Press "Phone" app to go to Phone page.
5. Press "Contact" menu item
6. Check the "Search field" and "Alpha jump" button are displayed in contact page.
</t>
    <phoneticPr fontId="4" type="noConversion"/>
  </si>
  <si>
    <t>1. Press "Apps" button on menu bar.
2. Press "Device Manager" app.
3. Pairing a phone via Bluetooth.
4. Press "Phone" app to go to Phone page.
5. Press "Contact" menu item
6. Press "Alpha jump" button
7. Input Alpha on the search field (e.g. [L])</t>
    <phoneticPr fontId="4" type="noConversion"/>
  </si>
  <si>
    <t>1. App Drawer page is displayed.
2. Device Manager page is displayed.
3. The Phone is paired.
4. Phone page is displayed.
5. Contact page is displayed.
6. Keyboard is extended.
7. Contact list shall jump to the first contact starting with the Alpha L.</t>
    <phoneticPr fontId="4" type="noConversion"/>
  </si>
  <si>
    <r>
      <t xml:space="preserve">1. Press "Apps" button on menu bar.
2. Press "Device Manager" app.
3. Pairing a phone via Bluetooth.
4. Press "Phone" app to go to Phone page.
5. Press "Contact" menu item
6. Check the "Search field" and "Alpha jump" button are </t>
    </r>
    <r>
      <rPr>
        <b/>
        <sz val="10"/>
        <rFont val="Times New Roman"/>
        <family val="1"/>
      </rPr>
      <t>Not</t>
    </r>
    <r>
      <rPr>
        <sz val="10"/>
        <rFont val="Times New Roman"/>
        <family val="1"/>
      </rPr>
      <t xml:space="preserve"> displayed in contact page.
</t>
    </r>
    <phoneticPr fontId="4" type="noConversion"/>
  </si>
  <si>
    <r>
      <t xml:space="preserve">1. App Drawer page is displayed.
2. Device Manager page is displayed.
3. The Phone is paired.
4. Phone page is displayed.
5. Contact page is displayed.
6. "Search field" and "Alpha jump button" are </t>
    </r>
    <r>
      <rPr>
        <b/>
        <sz val="10"/>
        <rFont val="Times New Roman"/>
        <family val="1"/>
      </rPr>
      <t>Not</t>
    </r>
    <r>
      <rPr>
        <sz val="10"/>
        <rFont val="Times New Roman"/>
        <family val="1"/>
      </rPr>
      <t xml:space="preserve"> displayed in contact page.</t>
    </r>
    <phoneticPr fontId="4" type="noConversion"/>
  </si>
  <si>
    <t>newR1L-HFP-014</t>
  </si>
  <si>
    <t>newR1L-HFP-015</t>
  </si>
  <si>
    <t>newR1L-HFP-016</t>
  </si>
  <si>
    <t>newR1L-HFP-017</t>
  </si>
  <si>
    <t>newR1L-HFP-018</t>
  </si>
  <si>
    <t>Bluetooth</t>
    <phoneticPr fontId="4" type="noConversion"/>
  </si>
  <si>
    <t>CFTS026-4924266</t>
  </si>
  <si>
    <r>
      <t xml:space="preserve">"Table {CFTS026-891} Bluetooth Protocol Constants Table 
 Name of constant | Value | Unit 
 The name of constant used in features. | Value of constant | Unit of constant 
 &lt;BT_HU_name&gt; | ""Uconnect"" | N/A" 
</t>
    </r>
    <r>
      <rPr>
        <b/>
        <sz val="10"/>
        <rFont val="Times New Roman"/>
        <family val="1"/>
      </rPr>
      <t>Scan from an external device and confirm the HU display as "Uconnect"</t>
    </r>
    <phoneticPr fontId="4" type="noConversion"/>
  </si>
  <si>
    <r>
      <t xml:space="preserve">"Table {CFTS026-891} Bluetooth Protocol Constants Table 
 Name of constant | Value | Unit 
 The name of constant used in features. | Value of constant | Unit of constant 
 &lt;BT_HU_name&gt; | ""Uconnect"" | N/A" 
</t>
    </r>
    <r>
      <rPr>
        <b/>
        <sz val="10"/>
        <rFont val="Times New Roman"/>
        <family val="1"/>
      </rPr>
      <t>Search for device screen display "Uconnect" as the HU name.</t>
    </r>
    <phoneticPr fontId="4" type="noConversion"/>
  </si>
  <si>
    <t>1. App Drawer page is displayed.
2. Device Manager page is displayed.
3. HU name shall displayed as "Uconnect" on the Bluetooth Pairing screen.</t>
    <phoneticPr fontId="4" type="noConversion"/>
  </si>
  <si>
    <t>1. Press "Apps" button on menu bar.
2. Press "Device Manager" app.
3. Press "Add Device" button on Device Manager.</t>
    <phoneticPr fontId="4" type="noConversion"/>
  </si>
  <si>
    <t>1. Press "Apps" button on menu bar.
2. Press "Device Manager" app.
3. Press "Add Device" button on Device Manager.
4. Scan the Bluetooth from external device.</t>
    <phoneticPr fontId="4" type="noConversion"/>
  </si>
  <si>
    <t>1. App Drawer page is displayed.
2. Device Manager page is displayed.
3. HU name shall displayed as "Uconnect" on the Bluetooth Pairing screen.
4. Detect the HU as “Uconnect” during scanning. "</t>
    <phoneticPr fontId="4" type="noConversion"/>
  </si>
  <si>
    <r>
      <t xml:space="preserve">"Table {CFTS026-891} Bluetooth Protocol Constants Table 
 Name of constant | Value | Unit 
 The name of constant used in features. | Value of constant | Unit of constant 
 &lt;BT_HU_name&gt; | ""Uconnect"" | N/A" 
</t>
    </r>
    <r>
      <rPr>
        <b/>
        <sz val="10"/>
        <rFont val="Times New Roman"/>
        <family val="1"/>
      </rPr>
      <t>HU name displays as "Uconnect" from Device after successful pairing</t>
    </r>
    <phoneticPr fontId="4" type="noConversion"/>
  </si>
  <si>
    <t>1. Press "Apps" button on menu bar.
2. Press "Device Manager" app.
3. Start pairing the Phone via Bluetooth.
4. Check the Bluetooth list from device</t>
    <phoneticPr fontId="4" type="noConversion"/>
  </si>
  <si>
    <t>1. App Drawer page is displayed.
2. Device Manager page is displayed.
3. Phone is paired.
4. The paired Bluetooth name device is displayed as “Uconnect”.</t>
    <phoneticPr fontId="4" type="noConversion"/>
  </si>
  <si>
    <r>
      <t xml:space="preserve">During this error condition the user shall be able to switch to another entertainment source. 
</t>
    </r>
    <r>
      <rPr>
        <b/>
        <sz val="10"/>
        <rFont val="Times New Roman"/>
        <family val="1"/>
      </rPr>
      <t xml:space="preserve">
Software: Intentionally format the internal data of the BTSA.</t>
    </r>
    <phoneticPr fontId="4" type="noConversion"/>
  </si>
  <si>
    <r>
      <t xml:space="preserve">During this error condition the user shall be able to switch to another entertainment source. 
</t>
    </r>
    <r>
      <rPr>
        <b/>
        <sz val="10"/>
        <rFont val="Times New Roman"/>
        <family val="1"/>
      </rPr>
      <t>Hardware: Disconnect the Bluetooth module antenna</t>
    </r>
    <phoneticPr fontId="4" type="noConversion"/>
  </si>
  <si>
    <r>
      <t xml:space="preserve">1. Press "Apps" button on menu bar.
2. Press "Device Manager" app.
3. Start pairing the phone via Bluetooth.
4. Press "Media" button on menu bar.
5. Press "Bluetooth" source.
6. </t>
    </r>
    <r>
      <rPr>
        <b/>
        <sz val="10"/>
        <rFont val="Times New Roman"/>
        <family val="1"/>
      </rPr>
      <t>Forget the Bluetooth of HU from device</t>
    </r>
    <r>
      <rPr>
        <sz val="10"/>
        <rFont val="Times New Roman"/>
        <family val="1"/>
      </rPr>
      <t xml:space="preserve"> to trigger the incorrect format issue on BTSA.
7. Press "OK" on pop up notification
8. Check the Bluetooth source playing status.
9. Press "USB" source.
10. Check the USB source playing status.
11. Press "FM" source.
12. Check the FM source playing status.
</t>
    </r>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</si>
  <si>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b/>
        <sz val="10"/>
        <rFont val="Times New Roman"/>
        <family val="1"/>
      </rPr>
      <t>Hardware: Disconnect the Bluetooth module antenna</t>
    </r>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</si>
  <si>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b/>
        <sz val="10"/>
        <rFont val="Times New Roman"/>
        <family val="1"/>
      </rPr>
      <t>Software: Intentionally format the internal data of the BTSA.</t>
    </r>
    <phoneticPr fontId="4" type="noConversion"/>
  </si>
  <si>
    <t>Bluetooth</t>
  </si>
  <si>
    <t>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USB music playing without error.
11. "FM" playing tab is displayed.
12. FM radio playing without error.</t>
    <phoneticPr fontId="4" type="noConversion"/>
  </si>
  <si>
    <t>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Phone and BTSA is connected.
11. Bluetooth playing without error.</t>
    <phoneticPr fontId="4" type="noConversion"/>
  </si>
  <si>
    <r>
      <t xml:space="preserve">1. Press "Apps" button on menu bar.
2. Press "Device Manager" app.
3. Start pairing the phone via Bluetooth.
4. Press "Media" button on menu bar.
5. Press "Bluetooth" source.
6. </t>
    </r>
    <r>
      <rPr>
        <b/>
        <sz val="10"/>
        <rFont val="Times New Roman"/>
        <family val="1"/>
      </rPr>
      <t>Forget the Bluetooth of HU from device</t>
    </r>
    <r>
      <rPr>
        <sz val="10"/>
        <rFont val="Times New Roman"/>
        <family val="1"/>
      </rPr>
      <t xml:space="preserve"> to trigger the incorrect format issue on BTSA.
7. Press "OK" on pop up notification
8. Check the Bluetooth source playing status.
9. Press "USB" source.
10. Start pairing the phone again.
11. Press "Bluetooth" source and check the playing status.</t>
    </r>
    <phoneticPr fontId="4" type="noConversion"/>
  </si>
  <si>
    <r>
      <t xml:space="preserve">1. Press "Apps" button on menu bar.
2. Press "Device Manager" app.
3. Start pairing the phone via Bluetooth.
4. Press "Media" button on menu bar.
5. Press "Bluetooth" source.
6. </t>
    </r>
    <r>
      <rPr>
        <b/>
        <sz val="10"/>
        <rFont val="Times New Roman"/>
        <family val="1"/>
      </rPr>
      <t>Disconnect the Bluetooth module antenna</t>
    </r>
    <r>
      <rPr>
        <sz val="10"/>
        <rFont val="Times New Roman"/>
        <family val="1"/>
      </rPr>
      <t xml:space="preserve"> to trigger the issue on BTSA.
7. Press "OK" on pop up notification
8. Check the Bluetooth source playing status.
9. Press "USB" source.
10. Start pairing the phone again.
11. Press "Bluetooth" source and check the playing status.</t>
    </r>
    <phoneticPr fontId="4" type="noConversion"/>
  </si>
  <si>
    <r>
      <t xml:space="preserve">1. Press "Apps" button on menu bar.
2. Press "Device Manager" app.
3. Start pairing the phone via Bluetooth.
4. Press "Media" button on menu bar.
5. Press "Bluetooth" source.
6. </t>
    </r>
    <r>
      <rPr>
        <b/>
        <sz val="10"/>
        <rFont val="Times New Roman"/>
        <family val="1"/>
      </rPr>
      <t>Disconnect the Bluetooth module antenna</t>
    </r>
    <r>
      <rPr>
        <sz val="10"/>
        <rFont val="Times New Roman"/>
        <family val="1"/>
      </rPr>
      <t xml:space="preserve"> to trigger the issue on BTSA.
7. Press "OK" on pop up notification
8. Check the Bluetooth source playing status.
9. Press "USB" source.
10. Check the USB source playing status.
11. Press "FM" source.
12. Check the FM source playing status.
</t>
    </r>
    <phoneticPr fontId="4" type="noConversion"/>
  </si>
  <si>
    <t>1. Release the Automotive SIG profile version.
2. Turn off the screen via UI or H/W key.
3. Press and hold the top-left and bottom-right corners for 5 seconds to enter Eng Mode.
4. Press "System Information" menu item.
5. Press "Bluetooth Information" menu item.
6. Check Automotive SIG profile version.</t>
    <phoneticPr fontId="4" type="noConversion"/>
  </si>
  <si>
    <t>1. Version has been released.
2. Screen Off.
3. Display EngMode home screen.
4. System Information page is displayed.
5. Bluetooth Information page is displayed.
6. The HU shall support the following Bluetooth Profiles: 
a. A2DP Sink - V1.2   use-case: BTSA
b. AVRCP Controller - V1.6  use-case:  BTSA
c. Hands-Free - V1.5  use-case:  Hands-Free Phone
d. MAP Client – V1.0  use-case:   SMS texting
e. PBAP Client – V1.1  use-case:  Phonebook download
f. SPP – V1.1  use-case: Mobile Integrated Platform (MIP)</t>
    <phoneticPr fontId="4" type="noConversion"/>
  </si>
  <si>
    <t>1. Press "Apps" button on menu bar 
2. Press "Device Manager" app on Apps drawer
3. Press the Settings icon of "Pixel 7 Pro" device on Device Manager
4. Press "Delete Device" tab on Device Settings page
5. Press "Yes" to delete "Pixel 7 Pro" device on notification</t>
    <phoneticPr fontId="4" type="noConversion"/>
  </si>
  <si>
    <t>Billy</t>
    <phoneticPr fontId="4" type="noConversion"/>
  </si>
  <si>
    <t>1. Press "Apps" button on menu bar 
2. Press "Device Manager" app on Apps drawer
3. Start pairing the three prepared devices.
4. Enabled the different profiles to each Devices
5. Unpair All Devices.
6. Reconnect All Devices and check the enabled profile on each profiles.</t>
    <phoneticPr fontId="4" type="noConversion"/>
  </si>
  <si>
    <t>#SYTD-IF-BT_FUN-00696-v01#
(Revise)</t>
    <phoneticPr fontId="4" type="noConversion"/>
  </si>
  <si>
    <t>newR1L-HFP-019</t>
  </si>
  <si>
    <t>newR1L-HFP-020</t>
  </si>
  <si>
    <t>newR1L-HFP-021</t>
  </si>
  <si>
    <t>newR1L-HFP-022</t>
  </si>
  <si>
    <t>newR1L-HFP-023</t>
  </si>
  <si>
    <t>newR1L-HFP-024</t>
  </si>
  <si>
    <t>newR1L-HFP-025</t>
  </si>
  <si>
    <t>newR1L-HFP-026</t>
  </si>
  <si>
    <t>newR1L-HFP-027</t>
  </si>
  <si>
    <t>newR1L-HFP-028</t>
  </si>
  <si>
    <t>newR1L-HFP-029</t>
  </si>
  <si>
    <t>newR1L-HFP-030</t>
  </si>
  <si>
    <r>
      <t xml:space="preserve">If a device responds to paging and can be Authenticated the HU shall connect to that device. 
</t>
    </r>
    <r>
      <rPr>
        <b/>
        <sz val="10"/>
        <rFont val="Times New Roman"/>
        <family val="1"/>
      </rPr>
      <t>Automatically connect to certified devices</t>
    </r>
    <phoneticPr fontId="4" type="noConversion"/>
  </si>
  <si>
    <r>
      <t xml:space="preserve">If a device responds to paging and can be Authenticated the HU shall connect to that device. 
</t>
    </r>
    <r>
      <rPr>
        <b/>
        <sz val="10"/>
        <rFont val="Times New Roman"/>
        <family val="1"/>
      </rPr>
      <t>Ignore connections to authenticated devices when authentication fails</t>
    </r>
    <phoneticPr fontId="4" type="noConversion"/>
  </si>
  <si>
    <t xml:space="preserve">1. App Drawer page is displayed.
2. The Device Manager page is displayed
3. The "Pixel 7 Pro" settings page is displayed
4. Pop up notification to inform user whether to delete "Pixel 7 Pro" device
5. After return to Device Manager page, the "Pixel 7 Pro" device has been deleted. </t>
    <phoneticPr fontId="4" type="noConversion"/>
  </si>
  <si>
    <t>1. App Drawer page is displayed.
2. The Device Manager page is displayed
3. Three Devices has been paired.
4. Each Device with different enabled profiles:
- Device A: HFP, BTSA is connected
- Device B: HFP is connected
- Device C: BTSA is connected
5. All Devices are unpaired.
6. Each Device with different enabled profiles:
- Device A: HFP, BTSA is connected
- Device B: HFP is connected
- Device C: BTSA is connected</t>
    <phoneticPr fontId="4" type="noConversion"/>
  </si>
  <si>
    <t>1. Press "Apps" button on menu bar 
2. Press "Device Manager" app on Apps drawer
3. Check the connention status of current device on Device Manager page.
4. Reboot the HU.
5. Press "Device Manager" app from Apps drawer
6. Check the connention status of current device on Device Manager page.</t>
    <phoneticPr fontId="4" type="noConversion"/>
  </si>
  <si>
    <t>1. App Drawer page is displayed.
2. The Device Manager page is displayed
3. A device is connected with enable HFP, BTSA profile.
4. Return to Home Screen without error.
5. The Device Manager page is displayed.
6. A device is connected automatically with enable HFP, BTSA profile.</t>
    <phoneticPr fontId="4" type="noConversion"/>
  </si>
  <si>
    <t>1. Press "Apps" button on menu bar 
2. Press "Device Manager" app on Apps drawer
3. Check the connention status of current device on Device Manager page.
4. Forget the Bluetooth of HU from device to trigger the incorrect format issue. 
5. Reboot the HU.
6. Press "Device Manager" app from Apps drawer
7. Check the connention status of current device on Device Manager page.</t>
    <phoneticPr fontId="4" type="noConversion"/>
  </si>
  <si>
    <t>1. App Drawer page is displayed.
2. The Device Manager page is displayed
3. A device is connected with enable HFP, BTSA profile.
4. HU's Bluetooth has been forgotten by the device.
5. Return to Home Screen without error.
6. The Device Manager page is displayed.
7. The device ignores connections from authenticated devices when authentication fails.</t>
    <phoneticPr fontId="4" type="noConversion"/>
  </si>
  <si>
    <t>newR1L-HFP-031</t>
  </si>
  <si>
    <t>1. App Drawer page is displayed.
2. The Device Manager page is displayed
3. Pop up Device Searching Request dialog
4. List all connectable BT devices
5. Pop up the PIN code confirmation dialog
6. Pop up the the dialog to ask user whether to connect Android Auto
7. Pop up the dialog to inform user BT connect successfully
8. Return to Device Manager page
9. "Pixel 7 Pro" device is displayed on Device Manager page.</t>
    <phoneticPr fontId="4" type="noConversion"/>
  </si>
  <si>
    <r>
      <t xml:space="preserve">1. Press "Apps" button on menu bar 
2. Press "Device Manager" app on Apps drawer
3. Press "Add Device" button on Device Manager
4. Press "Search For Bluetooth Devices" button on Device Searching Request dialog
5. Press "Pixel 7 Pro" on Device List to start pairing
6. Press "Yes" button to confirm displayed PIN matches on your device
</t>
    </r>
    <r>
      <rPr>
        <sz val="10"/>
        <color rgb="FFFF0000"/>
        <rFont val="Times New Roman"/>
        <family val="1"/>
      </rPr>
      <t>(Need Pixel 7 Pro Accept PIN code confirmation also)</t>
    </r>
    <r>
      <rPr>
        <sz val="12"/>
        <color rgb="FF000000"/>
        <rFont val="Calibri"/>
        <family val="2"/>
      </rPr>
      <t xml:space="preserve">
</t>
    </r>
    <r>
      <rPr>
        <sz val="10"/>
        <color rgb="FF000000"/>
        <rFont val="Times New Roman"/>
        <family val="1"/>
      </rPr>
      <t>7. Press "Not Now" on Android Auto dialog
8. Press "Ok" return to Device Manager page
9. Check the device displayed on Device Manager page</t>
    </r>
    <phoneticPr fontId="4" type="noConversion"/>
  </si>
  <si>
    <t>1. Press "Apps" button on menu bar 
2. Press "Phone" app on Apps drawer
3. Press "Contact" menu item
4. Press "Contact" which having multiple numbers.
5. Press "List All Phone Number" soft key.</t>
    <phoneticPr fontId="4" type="noConversion"/>
  </si>
  <si>
    <t>1. App Drawer page is displayed.
2. The Phone page is displayed
3. Contact page is displayed.
4. Contact info page is displayed.
5. Display all associated phone numbers.</t>
    <phoneticPr fontId="4" type="noConversion"/>
  </si>
  <si>
    <t xml:space="preserve">1. Press "Apps" button on menu bar 
2. Press "Phone" app on Apps drawer
3. Press "Contact" menu item
4. Press "Contact" to view the Contact info page.
5. Press "Phone Number" button of contact to initial the call. </t>
    <phoneticPr fontId="4" type="noConversion"/>
  </si>
  <si>
    <t xml:space="preserve">1. App Drawer page is displayed.
2. The Phone page is displayed
3. Contact page is displayed.
4. Contact info page is displayed.
5. Call is initialed and  HMI transitioning to Dialing/Phone page. </t>
    <phoneticPr fontId="4" type="noConversion"/>
  </si>
  <si>
    <t>Phone Call</t>
    <phoneticPr fontId="4" type="noConversion"/>
  </si>
  <si>
    <t>newR1L-HFP-032</t>
  </si>
  <si>
    <t>newR1L-HFP-033</t>
  </si>
  <si>
    <t>newR1L-HFP-034</t>
  </si>
  <si>
    <t>newR1L-HFP-035</t>
  </si>
  <si>
    <t>newR1L-HFP-036</t>
  </si>
  <si>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rFont val="Times New Roman"/>
        <family val="1"/>
      </rPr>
      <t>"Phonebook / Contacts" softkey is disabled when PBAP download fail.</t>
    </r>
    <phoneticPr fontId="4" type="noConversion"/>
  </si>
  <si>
    <t>newR1L-HFP-037</t>
  </si>
  <si>
    <r>
      <t>1. Press "Apps" button on menu bar 
2. Press "Device Manager" app on App drawer
3. Press "Add Device" to start device pairing and download the phonebook.
4</t>
    </r>
    <r>
      <rPr>
        <sz val="10"/>
        <color rgb="FF000000"/>
        <rFont val="Times New Roman"/>
        <family val="1"/>
      </rPr>
      <t>. Press "Phone" app from App drawer.
5. Check the "Contact" menu item is visibled and enabled.
6. Press "Contact" menu item to view the contact list
7. Check the contacts are listed in alphabetical order.</t>
    </r>
    <phoneticPr fontId="4" type="noConversion"/>
  </si>
  <si>
    <t>1. Apps drawer has been launched
2. Device Manager page has is displayed
3. Device is paired with Phone Book downloaded.
4. Phone page is displayed.
5. "Contact " menu item is enabled.
6. Contact list page is displayed.
7. Contacts are listed in alphabetical order.</t>
    <phoneticPr fontId="4" type="noConversion"/>
  </si>
  <si>
    <t>1. Apps drawer has been launched
2. Device Manager page has is displayed
3. Device is paired without Phone Book downloaded.
4. Phone page is displayed.
5. "Contact " menu item is disabled.</t>
    <phoneticPr fontId="4" type="noConversion"/>
  </si>
  <si>
    <r>
      <t>1. Press "Apps" button on menu bar 
2. Press "Device Manager" app on App drawer
3. Press "Add Device" to start device pairing without download the phonebook.
4</t>
    </r>
    <r>
      <rPr>
        <sz val="10"/>
        <color rgb="FF000000"/>
        <rFont val="Times New Roman"/>
        <family val="1"/>
      </rPr>
      <t>. Press "Phone" app from App drawer.
5. Check the "Contact" menu item is disabled</t>
    </r>
    <r>
      <rPr>
        <sz val="10"/>
        <rFont val="Times New Roman"/>
        <family val="1"/>
      </rPr>
      <t>.</t>
    </r>
    <phoneticPr fontId="4" type="noConversion"/>
  </si>
  <si>
    <t>1. Press "Apps" button on menu bar 
2. Press "Device Manager" app on App drawer
3. Press "Add Deivce" to start pairing phone via Bluetooth
4. Cancel pairing from the device during the pairing process.
5. Check the content of pop up.</t>
    <phoneticPr fontId="4" type="noConversion"/>
  </si>
  <si>
    <t>1. Apps drawer has been launched
2. Device Manager page has is displayed
3. Bluetooth has started pairing
4. Pop up Pairing not successful notification on HU Screen.
5. Pop up shall display the Uconnect phone website URL. 
(For device compatibility information visit uconnectphone.com)</t>
    <phoneticPr fontId="4" type="noConversion"/>
  </si>
  <si>
    <t>Message</t>
    <phoneticPr fontId="4" type="noConversion"/>
  </si>
  <si>
    <t>1. Apps drawer has been launched
2. Device Manager page has is displayed
3. Bluetooth has started pairing
4. Pop up Pairing not successful notification on HU Screen.
5. Pop up shall display a generic text message. 
(Visit vehicle website for a list of compatible devices)</t>
    <phoneticPr fontId="4" type="noConversion"/>
  </si>
  <si>
    <r>
      <t>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Chrysler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</si>
  <si>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Chrysler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</si>
  <si>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Dodge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</si>
  <si>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Dodge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</si>
  <si>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Jeep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</si>
  <si>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Jeep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</si>
  <si>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RAM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</si>
  <si>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RAM brand</t>
    </r>
    <phoneticPr fontId="4" type="noConversion"/>
  </si>
  <si>
    <t>1. Apps drawer has been launched
2. Device Manager page has is displayed
3. Phone is connected.
4. Message function is disabled.
5. Phone page is displayed.
6. Pop up Messaging not supported notification on HU screen. 
7. Pop up shall display the Uconnect phone website URL. 
(For device compatibility information visit uconnectphone.com)</t>
    <phoneticPr fontId="4" type="noConversion"/>
  </si>
  <si>
    <r>
      <t>1. Press "Apps" button on menu bar 
2. Press "Device Manager" app on App drawer
3. Start pairing phone via Bluetooth.
4. Disalbe Message function from device
5</t>
    </r>
    <r>
      <rPr>
        <sz val="10"/>
        <color rgb="FF000000"/>
        <rFont val="Times New Roman"/>
        <family val="1"/>
      </rPr>
      <t>. Press "Phone" app from App drawer.
6. Press "Message" menu item on Phone page.</t>
    </r>
    <r>
      <rPr>
        <sz val="10"/>
        <rFont val="Times New Roman"/>
        <family val="1"/>
      </rPr>
      <t xml:space="preserve">
7. Check the content of pop up.</t>
    </r>
    <phoneticPr fontId="4" type="noConversion"/>
  </si>
  <si>
    <r>
      <t xml:space="preserve">1. Press "Apps" button on menu bar 
2. Press "Device Manager" app on App drawer
3. Start pairing phone via Bluetooth.
4. Disalbe Message function from device
</t>
    </r>
    <r>
      <rPr>
        <sz val="10"/>
        <color rgb="FF000000"/>
        <rFont val="Times New Roman"/>
        <family val="1"/>
      </rPr>
      <t>5. Press "Phone" app from App drawer.
6. Press "Message" menu item on Phone page.</t>
    </r>
    <r>
      <rPr>
        <sz val="10"/>
        <rFont val="Times New Roman"/>
        <family val="1"/>
      </rPr>
      <t xml:space="preserve">
7. Check the content of pop up.</t>
    </r>
    <phoneticPr fontId="4" type="noConversion"/>
  </si>
  <si>
    <t>1. Apps drawer has been launched
2. Device Manager page has is displayed
3. Phone is connected.
4. Message function is disabled.
5. Phone page is displayed.
6. Pop up Messaging not supported notification on HU Screen.
7. Pop up shall display a generic text message. 
(Visit vehicle website for a list of compatible devices)</t>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</si>
  <si>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Viper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</si>
  <si>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Viper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</si>
  <si>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</si>
  <si>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</si>
  <si>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Times New Roman"/>
        <family val="1"/>
      </rPr>
      <t>"Pairing Not Successful" pop-up message is displayed on Chrysler non-NAFTA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</si>
  <si>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Times New Roman"/>
        <family val="1"/>
      </rPr>
      <t>"Messaging not supported" pop-up message is displayed on Chrysler non-NAFTA brand</t>
    </r>
    <phoneticPr fontId="4" type="noConversion"/>
  </si>
  <si>
    <t>newR1L-HFP-038</t>
  </si>
  <si>
    <t>newR1L-HFP-039</t>
  </si>
  <si>
    <t>newR1L-HFP-040</t>
  </si>
  <si>
    <t>newR1L-HFP-041</t>
  </si>
  <si>
    <t>newR1L-HFP-042</t>
  </si>
  <si>
    <t>newR1L-HFP-043</t>
  </si>
  <si>
    <t>newR1L-HFP-044</t>
  </si>
  <si>
    <t>newR1L-HFP-045</t>
  </si>
  <si>
    <t>newR1L-HFP-046</t>
  </si>
  <si>
    <t>newR1L-HFP-047</t>
  </si>
  <si>
    <t>newR1L-HFP-048</t>
  </si>
  <si>
    <t>newR1L-HFP-049</t>
  </si>
  <si>
    <t>newR1L-HFP-050</t>
  </si>
  <si>
    <t>newR1L-HFP-051</t>
  </si>
  <si>
    <t>1. Dev / Pre-Prod build only</t>
  </si>
  <si>
    <t>1. Dev / Pre-Prod build only
2. Microphone is conneced.</t>
  </si>
  <si>
    <t>1. Dev / Pre-Prod build only
2. At least one Contact in the device.</t>
  </si>
  <si>
    <t>1. Dev / Pre-Prod build only
2. At least 5 Contacts within the Phonebook
3. Set PROXI "Browsing Enable" is in Presence mode.</t>
  </si>
  <si>
    <t>1. Dev / Pre-Prod build only
2. At least 5 Contacts within the Phonebook
3. Set PROXI "Browsing Enable" is in Absence mode.</t>
  </si>
  <si>
    <t>1. Dev / Pre-Prod build only
2. USB is connected within music file.
3. Radio Anteena is connected.</t>
  </si>
  <si>
    <t>1. Dev / Pre-Prod build only
2. USB is connected within music file.
3. Radio Antenna is connected.</t>
  </si>
  <si>
    <t>1. Dev / Pre-Prod build only
2. USB is connected within music file.</t>
  </si>
  <si>
    <t>1. Dev / Pre-Prod build only
2. Prepare Multiple Bluetooth devices with different enabled profiles:
- Device A: HFP, BTSA is connected
- Device B: HFP is connected
- Device C: BTSA is connected.</t>
  </si>
  <si>
    <t>1. Dev / Pre-Prod build only
2. Prepare a device with enable HFP, BTSA.</t>
  </si>
  <si>
    <t>1. Dev / Pre-Prod build only
2. Prepare a device is connected with enable HFP, BTSA.</t>
  </si>
  <si>
    <t>1. Dev / Pre-Prod build only
2. Prepare a device is connected with enable HFP</t>
  </si>
  <si>
    <t>1. Dev / Pre-Prod build only
2. Prepare a device is connected with enable BTSA</t>
  </si>
  <si>
    <t xml:space="preserve">1. Dev / Pre-Prod build only
2. HFP is connected
3. At least one contact having multiple numbers. </t>
  </si>
  <si>
    <t>1. Dev / Pre-Prod build only
2. HFP is connected</t>
  </si>
  <si>
    <t>1. Dev / Pre-Prod build only
2. Prepare a device with at least 5 contacts.</t>
  </si>
  <si>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rFont val="Times New Roman"/>
        <family val="1"/>
      </rPr>
      <t>"Phonebook / Contacts" softkey is enabled when PBAB Download success.</t>
    </r>
    <phoneticPr fontId="4" type="noConversion"/>
  </si>
  <si>
    <r>
      <t xml:space="preserve">The HU shall display a touchscreen softkey (labeled with a Microphone Icon) and shall provide a VR command (if VR is available and when a Phone Call is In Progress). 
</t>
    </r>
    <r>
      <rPr>
        <b/>
        <sz val="10"/>
        <rFont val="Times New Roman"/>
        <family val="1"/>
      </rPr>
      <t>Incoming Call</t>
    </r>
    <phoneticPr fontId="4" type="noConversion"/>
  </si>
  <si>
    <r>
      <t xml:space="preserve">The HU shall display a touchscreen softkey (labeled with a Microphone Icon) and shall provide a VR command (if VR is available and when a Phone Call is In Progress). 
</t>
    </r>
    <r>
      <rPr>
        <b/>
        <sz val="10"/>
        <rFont val="Times New Roman"/>
        <family val="1"/>
      </rPr>
      <t>Outgoing Call</t>
    </r>
    <phoneticPr fontId="4" type="noConversion"/>
  </si>
  <si>
    <r>
      <t xml:space="preserve">The HU shall display a touchscreen softkey (labeled with a Microphone Icon) and shall provide a VR command (if VR is available and when a Phone Call is In Progress). 
</t>
    </r>
    <r>
      <rPr>
        <b/>
        <sz val="10"/>
        <rFont val="Times New Roman"/>
        <family val="1"/>
      </rPr>
      <t>Hold Call</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</si>
  <si>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Times New Roman"/>
        <family val="1"/>
      </rPr>
      <t>Incoming Call</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</si>
  <si>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Times New Roman"/>
        <family val="1"/>
      </rPr>
      <t>Outgoing Call</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</si>
  <si>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Times New Roman"/>
        <family val="1"/>
      </rPr>
      <t>Hold Call</t>
    </r>
    <phoneticPr fontId="4" type="noConversion"/>
  </si>
  <si>
    <t>1. App Drawer page is displayed.
2. The Device Manager page is displayed
3. A device is connected with enable HFP profile.
4. Return to Home Screen without error.
5. The Device Manager page is displayed.
6. A device is connected automatically with enable HFP</t>
    <phoneticPr fontId="4" type="noConversion"/>
  </si>
  <si>
    <t>1. App Drawer page is displayed.
2. The Device Manager page is displayed
3. A device is connected with enable BTSA profile.
4. Return to Home Screen without error.
5. The Device Manager page is displayed.
6. A device is connected automatically with enable BTSA</t>
    <phoneticPr fontId="4" type="noConversion"/>
  </si>
  <si>
    <t>1. Dev / Pre-Prod build only
2. Set Proxi $Brand_Configuration_2$ = [Chrysler]</t>
  </si>
  <si>
    <t>1. Dev / Pre-Prod build only
2. Set Proxi $Brand_Configuration_2$ = [Chrysler]</t>
    <phoneticPr fontId="4" type="noConversion"/>
  </si>
  <si>
    <t>1. Dev / Pre-Prod build only
2. Set Proxi $Brand_Configuration_2$ = [Dodge]</t>
  </si>
  <si>
    <t>1. Dev / Pre-Prod build only
2. Set Proxi $Brand_Configuration_2$ = [Jeep]</t>
  </si>
  <si>
    <t>1. Dev / Pre-Prod build only
2. Set Proxi $Brand_Configuration_2$ = [RAM]</t>
  </si>
  <si>
    <t>1. Dev / Pre-Prod build only
2. Set Proxi $Brand_Configuration_2$ = [Viper]</t>
  </si>
  <si>
    <t>1. Dev / Pre-Prod build only
2. Set Proxi $Brand_Configuration_2$ = [Fiat]</t>
  </si>
  <si>
    <t>1. Dev / Pre-Prod build only
2. Set Proxi $Brand_Configuration_2$ = [Chrysler]
3. Set Proxi $Market_Area$ = [EMEA]</t>
  </si>
  <si>
    <t>new R1L</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</si>
  <si>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Result_SWQT_CFTS026_HandsFreePhone</t>
    </r>
    <phoneticPr fontId="4" type="noConversion"/>
  </si>
  <si>
    <t>V1.0</t>
    <phoneticPr fontId="4" type="noConversion"/>
  </si>
  <si>
    <t>SW Testing</t>
    <phoneticPr fontId="4" type="noConversion"/>
  </si>
  <si>
    <t>Confidential</t>
    <phoneticPr fontId="4" type="noConversion"/>
  </si>
  <si>
    <t>2026.01.05</t>
    <phoneticPr fontId="4" type="noConversion"/>
  </si>
  <si>
    <r>
      <t xml:space="preserve">Initial Release </t>
    </r>
    <r>
      <rPr>
        <sz val="12"/>
        <color theme="1"/>
        <rFont val="微軟正黑體"/>
        <family val="1"/>
        <charset val="136"/>
      </rPr>
      <t>初版發布</t>
    </r>
    <phoneticPr fontId="4" type="noConversion"/>
  </si>
  <si>
    <t>Billy, Pei</t>
    <phoneticPr fontId="4" type="noConversion"/>
  </si>
  <si>
    <t>NRL-87668</t>
  </si>
  <si>
    <t>Basic Functional</t>
    <phoneticPr fontId="4" type="noConversion"/>
  </si>
  <si>
    <t>Table {CFTS026-1185} Phone Book and Call Logs Constants Table 
Name of constant: The name of constant used in features.
Value: Value of constant
Unit: Unit of constant
 &lt;MaxCount-AddressBookEntries&gt; | 5000 | records</t>
    <phoneticPr fontId="4" type="noConversion"/>
  </si>
  <si>
    <t>1. A PBAP-supported device is available.
2. The device has 5,000 phonebook entries registered.
3. HU is powered on and Bluetooth is enabled.
4. The device is not connected to the HU.</t>
    <phoneticPr fontId="4" type="noConversion"/>
  </si>
  <si>
    <t>NA</t>
    <phoneticPr fontId="4" type="noConversion"/>
  </si>
  <si>
    <t>1. Connect the device to the HU via Bluetooth.
2. Accept the phonebook download request on the device.
3. Open the Phonebook screen on the HU after the download is completed.</t>
    <phoneticPr fontId="4" type="noConversion"/>
  </si>
  <si>
    <t>1. The device is connected to the HU.
2. When the phonebook reaches 5,000 entries, a popup is displayed with the message:
“Phonebook limit reached, remaining contacts will not be added to system.”
3. After closing the popup, the HU phonebook displays exactly 5,000 entries.</t>
    <phoneticPr fontId="4" type="noConversion"/>
  </si>
  <si>
    <t>#SYTD-IF-ADB_FUN-00017-v01#</t>
    <phoneticPr fontId="4" type="noConversion"/>
  </si>
  <si>
    <t>newR1L-HFP-002</t>
  </si>
  <si>
    <t>1. A PBAP-supported device is available.
2. The HU phonebook already contains 5,000 entries.
3. The device is connected to the HU via Bluetooth.
4. Phonebook download has been completed and the HU Phonebook screen is accessible.</t>
    <phoneticPr fontId="4" type="noConversion"/>
  </si>
  <si>
    <t>1. Add one new contact on the device.
2. Re-trigger phonebook synchronization.
3. Open the Phonebook screen on the HU.</t>
    <phoneticPr fontId="4" type="noConversion"/>
  </si>
  <si>
    <t>1. The new contact is successfully saved on the device.
2. Phonebook update is triggered on the HU.
3. The HU phonebook remains at 5,000 entries, and the newly added contact is not imported into the HU phonebook.</t>
    <phoneticPr fontId="4" type="noConversion"/>
  </si>
  <si>
    <t>Error State</t>
    <phoneticPr fontId="4" type="noConversion"/>
  </si>
  <si>
    <t>1. Delete the selected contact on the device.
2. Re-trigger phonebook synchronization.
3. Open the Phonebook screen on the HU.</t>
    <phoneticPr fontId="4" type="noConversion"/>
  </si>
  <si>
    <t>1. The contact is removed from the device.
2. Phonebook update is triggered on the HU.
3. The deleted contact is not displayed on the HU, and the phonebook entry count is reduced accordingly (less than 5,000).</t>
    <phoneticPr fontId="4" type="noConversion"/>
  </si>
  <si>
    <t>1. Create one duplicate contact on the device.
2. Re-trigger phonebook synchronization.
3. Open the Phonebook screen on the HU.</t>
    <phoneticPr fontId="4" type="noConversion"/>
  </si>
  <si>
    <t>1. The duplicate contact is successfully saved on the device.
2. Phonebook update is triggered on the HU.
3. The HU phonebook remains at 5,000 entries, and the duplicate contact is not imported into the HU phonebook.</t>
    <phoneticPr fontId="4" type="noConversion"/>
  </si>
  <si>
    <t>NRL-87669</t>
  </si>
  <si>
    <t>1. A Bluetooth device supporting call log synchronization is available.
2. The device contains more than 60 outgoing call log entries.
3. HU is powered on.
4. Bluetooth pairing has been completed.</t>
    <phoneticPr fontId="4" type="noConversion"/>
  </si>
  <si>
    <t>1. Allow call log synchronization to complete, and open the outgoing call log on the HU.
2. Observe the number of entries displayed.</t>
    <phoneticPr fontId="4" type="noConversion"/>
  </si>
  <si>
    <t>1. The Outgoing Call Log screen is displayed.
2. The Outgoing Call Log contains no more than 60 entries.</t>
    <phoneticPr fontId="4" type="noConversion"/>
  </si>
  <si>
    <t>1. The HU Outgoing Call Log already contains exactly 60 entries.
2. The device is connected to the HU via Bluetooth.</t>
    <phoneticPr fontId="4" type="noConversion"/>
  </si>
  <si>
    <t>1. Make one outgoing call from the device.
2. Wait for call log synchronization to complete.
3. Open the Outgoing Call Log screen on the HU.</t>
    <phoneticPr fontId="4" type="noConversion"/>
  </si>
  <si>
    <t>1. A new outgoing call log entry is added to the HU.
2. Call log synchronization completes on the HU.
3. The Outgoing Call Log remains limited to 60 entries.</t>
    <phoneticPr fontId="4" type="noConversion"/>
  </si>
  <si>
    <t>1. Delete one outgoing call log entry on the device.
2. Wait for call log synchronization to complete.
3. Open the Outgoing Call Log screen on the HU.</t>
    <phoneticPr fontId="4" type="noConversion"/>
  </si>
  <si>
    <t>1. The selected outgoing call log entry is removed from the device.
2. Call log synchronization completes on the HU.
3. The deleted outgoing call log entry is not displayed on the HU.</t>
    <phoneticPr fontId="4" type="noConversion"/>
  </si>
  <si>
    <t>NRL-87670</t>
  </si>
  <si>
    <t>State / Scenario</t>
    <phoneticPr fontId="4" type="noConversion"/>
  </si>
  <si>
    <t>1. A Bluetooth device supporting call log synchronization is available.
2. The device contains more than 60 incoming call log entries.
3. HU is powered on.
4. Bluetooth pairing has been completed.</t>
    <phoneticPr fontId="4" type="noConversion"/>
  </si>
  <si>
    <t>1. Allow call log synchronization to complete, and open the incoming call log on the HU.
2. Observe the number of entries displayed.</t>
    <phoneticPr fontId="4" type="noConversion"/>
  </si>
  <si>
    <t>1. The Incoming Call Log screen is displayed.
2. The Incoming Call Log contains no more than 60 entries.</t>
    <phoneticPr fontId="4" type="noConversion"/>
  </si>
  <si>
    <t>1. The HU Incoming Call Log already contains exactly 60 entries.
2. The device is connected to the HU via Bluetooth.</t>
    <phoneticPr fontId="4" type="noConversion"/>
  </si>
  <si>
    <t>1. Make one outgoing call from the device.
2. Wait for call log synchronization to complete.
3. Open the Incoming Call Log screen on the HU.</t>
    <phoneticPr fontId="4" type="noConversion"/>
  </si>
  <si>
    <t>1. A new incoming call log entry is added to the HU.
2. Call log synchronization completes on the HU.
3. The incoming call log remains limited to 60 entries.</t>
    <phoneticPr fontId="4" type="noConversion"/>
  </si>
  <si>
    <t>1. Delete one incoming call log entry on the device.
2. Wait for call log synchronization to complete.
3. Open the Incoming Call Log screen on the HU.</t>
    <phoneticPr fontId="4" type="noConversion"/>
  </si>
  <si>
    <t>1. The selected incoming call log entry is removed from the device.
2. Call log synchronization completes on the HU.
3. The deleted incoming call log entry is not displayed on the HU.</t>
    <phoneticPr fontId="4" type="noConversion"/>
  </si>
  <si>
    <t>NRL-87671</t>
  </si>
  <si>
    <t>1. A Bluetooth device supporting call log synchronization is available.
2. The device contains more than 60 missed call log entries.
3. HU is powered on.
4. Bluetooth pairing has been completed.</t>
    <phoneticPr fontId="4" type="noConversion"/>
  </si>
  <si>
    <t>1. The Missed Call Log screen is displayed.
2. The Missed Call Log contains no more than 60 entries.</t>
    <phoneticPr fontId="4" type="noConversion"/>
  </si>
  <si>
    <t>1. The HU Missed Call Log already contains exactly 60 entries.
2. The device is connected to the HU via Bluetooth.</t>
    <phoneticPr fontId="4" type="noConversion"/>
  </si>
  <si>
    <t>1. Make one outgoing call from the device.
2. Wait for call log synchronization to complete.
3. Open the Missed Call Log screen on the HU.</t>
    <phoneticPr fontId="4" type="noConversion"/>
  </si>
  <si>
    <t>1. A new missed call log entry is added to the HU.
2. Call log synchronization completes on the HU.
3. The missed call log remains limited to 60 entries.</t>
    <phoneticPr fontId="4" type="noConversion"/>
  </si>
  <si>
    <t>1. Delete one missed call log entry on the device.
2. Wait for call log synchronization to complete.
3. Open the Missed Call Log screen on the HU.</t>
    <phoneticPr fontId="4" type="noConversion"/>
  </si>
  <si>
    <t>1. The selected missed call log entry is removed from the device.
2. Call log synchronization completes on the HU.
3. The deleted missed call log entry is not displayed on the HU.</t>
    <phoneticPr fontId="4" type="noConversion"/>
  </si>
  <si>
    <t>NRL-87672</t>
  </si>
  <si>
    <t>1. A Bluetooth device supporting call log synchronization is available.
2. The device contains more than 180 all call log entries.
3. HU is powered on.
4. Bluetooth pairing has been completed.</t>
    <phoneticPr fontId="4" type="noConversion"/>
  </si>
  <si>
    <t>1. The All Call Log screen is displayed.
2. The All Call Log contains no more than 60 entries.</t>
    <phoneticPr fontId="4" type="noConversion"/>
  </si>
  <si>
    <t>1. The HU All Call Log already contains exactly 180 entries.
2. The device is connected to the HU via Bluetooth.</t>
    <phoneticPr fontId="4" type="noConversion"/>
  </si>
  <si>
    <t>1. Make one all call from the device.
2. Wait for call log synchronization to complete.
3. Open the All Call Log screen on the HU.</t>
    <phoneticPr fontId="4" type="noConversion"/>
  </si>
  <si>
    <t>1. A new all call log entry is added to the HU.
2. Call log synchronization completes on the HU.
3. The all call log remains limited to 60 entries.</t>
    <phoneticPr fontId="4" type="noConversion"/>
  </si>
  <si>
    <t>1. The HU All Call Log already contains exactly 60 entries.
2. The device is connected to the HU via Bluetooth.</t>
    <phoneticPr fontId="4" type="noConversion"/>
  </si>
  <si>
    <t>1. Delete one all call log entry on the device.
2. Wait for call log synchronization to complete.
3. Open the All Call Log screen on the HU.</t>
    <phoneticPr fontId="4" type="noConversion"/>
  </si>
  <si>
    <t>1. The selected all call log entry is removed from the device.
2. Call log synchronization completes on the HU.
3. The deleted all call log entry is not displayed on the HU.</t>
    <phoneticPr fontId="4" type="noConversion"/>
  </si>
  <si>
    <t>NRL-87674</t>
  </si>
  <si>
    <t>1. A Bluetooth device contains more than 60 outgoing call log records.
2. HU is activated.</t>
    <phoneticPr fontId="4" type="noConversion"/>
  </si>
  <si>
    <t>1. Initiate call log download via Bluetooth pairing, wait for call log synchronization to complete.
2. Open the Outgoing Call Log screen.</t>
    <phoneticPr fontId="4" type="noConversion"/>
  </si>
  <si>
    <t>1. Call log synchronization completes on the HU.
2. Only the first 60 outgoing call log records received are accessible on the HU.</t>
    <phoneticPr fontId="4" type="noConversion"/>
  </si>
  <si>
    <t>NRL-87675</t>
  </si>
  <si>
    <t>1. Initiate call log download via Bluetooth pairing, wait for call log synchronization to complete.
2. Open the Incoming Call Log screen.</t>
    <phoneticPr fontId="4" type="noConversion"/>
  </si>
  <si>
    <t>1. Call log synchronization completes on the HU.
2. Only the first 60 incoming call log records received are accessible on the HU.</t>
    <phoneticPr fontId="4" type="noConversion"/>
  </si>
  <si>
    <t>NRL-87676</t>
  </si>
  <si>
    <t>1. Initiate call log download via Bluetooth pairing, wait for call log synchronization to complete.
2. Open the Missed Call Log screen.</t>
    <phoneticPr fontId="4" type="noConversion"/>
  </si>
  <si>
    <t>1. Call log synchronization completes on the HU.
2. Only the first 60 missed call log records received are accessible on the HU.</t>
    <phoneticPr fontId="4" type="noConversion"/>
  </si>
  <si>
    <t>NRL-87678</t>
  </si>
  <si>
    <t>1. A Bluetooth device containing Outgoing, Incoming, and Missed Call Logs is available.
2. HU is activated.
3. Bluetooth device pairing has been completed.</t>
    <phoneticPr fontId="4" type="noConversion"/>
  </si>
  <si>
    <t>1. Initiate call log download via Bluetooth pairing, wait for call log synchronization to complete.
2. Observe the order of entries in the All Call Logs list.</t>
    <phoneticPr fontId="4" type="noConversion"/>
  </si>
  <si>
    <t>1. All retrieved call logs are merged into a single All Call Logs list.
2. The All Call Logs list is sorted by timestamp, with the most recent calls displayed first.</t>
    <phoneticPr fontId="4" type="noConversion"/>
  </si>
  <si>
    <t>NRL-87679</t>
  </si>
  <si>
    <t>1. A Bluetooth device containing Outgoing, Incoming, and Missed Call Logs is available.
2. The total number of call log entries exceeds &lt;MaxCount-AllCallLogEntries&gt; 180.
2. HU is activated.
3. Bluetooth device pairing has been completed.</t>
    <phoneticPr fontId="4" type="noConversion"/>
  </si>
  <si>
    <t>1. All retrieved call logs are merged into a single All Call Logs list.
2. Only the most recent 180 call log entries are displayed; older entries are not shown.</t>
    <phoneticPr fontId="4" type="noConversion"/>
  </si>
  <si>
    <t>NRL-87681</t>
  </si>
  <si>
    <t>1. A Bluetooth device is available.
2. The Bluetooth device supports PBAP.
• If PBAP is not supported, the device supports OBEX.
3. HU is powered on.
4. Bluetooth pairing between the device and the HU is completed.</t>
    <phoneticPr fontId="4" type="noConversion"/>
  </si>
  <si>
    <t>1. Connect the Bluetooth device to the HU.
2. Initiate the external phonebook transfer from the device.
3. Wait until the transfer is completed.</t>
    <phoneticPr fontId="4" type="noConversion"/>
  </si>
  <si>
    <t>1. The device is successfully connected to the HU.
2. The HU starts receiving the External Downloaded Phone Book.
3. The External Downloaded Phone Book is successfully transferred to the HU.</t>
    <phoneticPr fontId="4" type="noConversion"/>
  </si>
  <si>
    <t>NRL-87682</t>
  </si>
  <si>
    <t>1. The External Downloaded Phone Book has been successfully transferred to the HU.
2. HU is powered on.</t>
    <phoneticPr fontId="4" type="noConversion"/>
  </si>
  <si>
    <t>1. Open the Phonebook screen on the HU.
2. Power off the HU and then power it on again.
3. Open the Phonebook screen on the HU.</t>
    <phoneticPr fontId="4" type="noConversion"/>
  </si>
  <si>
    <t>1. The External Downloaded Phone Book data is displayed correctly.
2. The HU completes the power cycle successfully.
3. The External Downloaded Phone Book data remains available.</t>
    <phoneticPr fontId="4" type="noConversion"/>
  </si>
  <si>
    <t>NRL-87684</t>
    <phoneticPr fontId="4" type="noConversion"/>
  </si>
  <si>
    <t>1. A Bluetooth device with phonebook data is available.
2. HU is activated.
3. Bluetooth pairing with the HU is completed.</t>
    <phoneticPr fontId="4" type="noConversion"/>
  </si>
  <si>
    <t>1. Trigger phonebook download from the Bluetooth device.
2. Open the Phonebook interface on the HU.
3. Observe the folder list in the Phonebook interface.</t>
    <phoneticPr fontId="4" type="noConversion"/>
  </si>
  <si>
    <t>1. Phonebook download is completed successfully.
2. The Phonebook interface is displayed.
3. A folder named “Mobile” is displayed.</t>
    <phoneticPr fontId="4" type="noConversion"/>
  </si>
  <si>
    <t>NRL-87685</t>
  </si>
  <si>
    <t>1. Open the Phonebook interface on the HU.
2. Observe the folder list.</t>
    <phoneticPr fontId="4" type="noConversion"/>
  </si>
  <si>
    <t>1. The Phonebook interface is displayed.
2. A folder named “Favorites” is displayed.</t>
    <phoneticPr fontId="4" type="noConversion"/>
  </si>
  <si>
    <t>1. The “Favorites” folder exists in the Phonebook interface.
2. HU is activated.</t>
    <phoneticPr fontId="4" type="noConversion"/>
  </si>
  <si>
    <t>1. Select a contact from the Phonebook.
2. Add the contact to the “Favorites” folder.
3. Open the “Favorites” folder.</t>
    <phoneticPr fontId="4" type="noConversion"/>
  </si>
  <si>
    <t>1. The contact details are displayed.
2. The contact is added to the “Favorites” folder.
3. The added contact is displayed in the “Favorites” folder.</t>
    <phoneticPr fontId="4" type="noConversion"/>
  </si>
  <si>
    <t>NRL-87687</t>
  </si>
  <si>
    <t>1. HU is activated.
2. E-Call / Assist-Call feature is enabled in system configuration.</t>
    <phoneticPr fontId="4" type="noConversion"/>
  </si>
  <si>
    <t>1. Open the Phonebook interface on the HU.
2. Open the Favorites folder.
3. Observe the list of entries in Favorites.</t>
    <phoneticPr fontId="4" type="noConversion"/>
  </si>
  <si>
    <t>1. The Phonebook interface is displayed.
2. The Favorites folder is displayed.
3. Entries named “Emergency” and “Roadside Assistance” are not displayed in Favorites.</t>
    <phoneticPr fontId="4" type="noConversion"/>
  </si>
  <si>
    <t>NRL-87688</t>
  </si>
  <si>
    <t>1. HU is activated.
2. E-Call / Assist-Call feature is disabled in system configuration.</t>
    <phoneticPr fontId="4" type="noConversion"/>
  </si>
  <si>
    <t>1. The Phonebook interface is displayed.
2. The Favorites folder is displayed.
3. Entries named “Emergency” and “Towing Assistance” are displayed in Favorites.</t>
    <phoneticPr fontId="4" type="noConversion"/>
  </si>
  <si>
    <t>1. HU is activated.
2. E-Call / Assist-Call feature is disabled in system configuration.
3. Entries “Emergency” and “Towing Assistance” exist in the Favorites folder.</t>
    <phoneticPr fontId="4" type="noConversion"/>
  </si>
  <si>
    <t>1. Select the “Emergency” entry in Favorites.
2. Attempt to edit the Emergency entry.
3. Select the “Towing Assistance” entry in Favorites.
4. Attempt to edit the Towing Assistance entry.</t>
    <phoneticPr fontId="4" type="noConversion"/>
  </si>
  <si>
    <t>1. The Emergency contact details are displayed.
2. Edit option is not available.
3. The Towing Assistance contact details are displayed.
4. Edit option is not available.</t>
    <phoneticPr fontId="4" type="noConversion"/>
  </si>
  <si>
    <t>1. Select the “Emergency” entry in Favorites.
2. Attempt to delete the Emergency entry.
3. Open the “Towing Assistance” entry in Favorites.
4. Attempt to delete the Towing Assistance entry.</t>
    <phoneticPr fontId="4" type="noConversion"/>
  </si>
  <si>
    <t>1. The Emergency contact details are displayed.
2. Delete option is not available.
3. The Towing Assistance contact details are displayed.
4. The phone number matches the value defined in the Market Configuration Table.</t>
    <phoneticPr fontId="4" type="noConversion"/>
  </si>
  <si>
    <t>NRL-87689</t>
  </si>
  <si>
    <t>Boundary</t>
    <phoneticPr fontId="4" type="noConversion"/>
  </si>
  <si>
    <t>1. HU is activated.
2. E-Call / Assist-Call feature is disabled in system configuration.
3. Entries “Emergency” and “Towing Assistance” exist in the Favorites folder.
4. Market Configuration Table for default phone numbers is available.</t>
    <phoneticPr fontId="4" type="noConversion"/>
  </si>
  <si>
    <t>1. Select the “Emergency” entry in Favorites.
2. Observe the phone number of the Emergency entry.
3. Open the “Towing Assistance” entry in Favorites.
4. Observe the phone number of the Towing Assistance entry.</t>
    <phoneticPr fontId="4" type="noConversion"/>
  </si>
  <si>
    <t>1. The Emergency contact details are displayed.
2. The phone number matches the value defined in the Market Configuration Table.
3. The Towing Assistance contact details are displayed.
4. The phone number matches the value defined in the Market Configuration Table.</t>
    <phoneticPr fontId="4" type="noConversion"/>
  </si>
  <si>
    <t>NRL-87690</t>
  </si>
  <si>
    <t>1. Select the “Emergency” entry in Favorites.
2. Attempt to edit the name field.
3. Open the “Towing Assistance” entry in Favorites.
4. Attempt to edit the name field.</t>
    <phoneticPr fontId="4" type="noConversion"/>
  </si>
  <si>
    <t>1. The Emergency contact details are displayed.
2. The name field is not editable.
3. The Towing Assistance contact details are displayed.
4. The name field is not editable.</t>
    <phoneticPr fontId="4" type="noConversion"/>
  </si>
  <si>
    <t>1. HU is activated.
2. E-Call / Assist-Call feature is disabled in system configuration.
3. Entries “Emergency” and “Towing Assistance” exist in the Favorites folder.
4. The phone numbers are stored as “Other” numbers.</t>
    <phoneticPr fontId="4" type="noConversion"/>
  </si>
  <si>
    <t>1. Select the “Emergency” entry in Favorites.
2. Edit the phone number field.
3. Open the “Towing Assistance” entry in Favorites.
4. Edit the phone number field.</t>
    <phoneticPr fontId="4" type="noConversion"/>
  </si>
  <si>
    <t>1. The Emergency contact details are displayed.
2. The phone number can be edited and saved.
3. The Towing Assistance contact details are displayed.
4. The phone number can be edited and saved.</t>
    <phoneticPr fontId="4" type="noConversion"/>
  </si>
  <si>
    <t>NRL-87691</t>
  </si>
  <si>
    <t>1. HU is activated.
2. No call is in progress.
3. Bluetooth device pairing is completed.</t>
    <phoneticPr fontId="4" type="noConversion"/>
  </si>
  <si>
    <t>1. Ensure no call is active on the connected Bluetooth device.
2. Keep the system in idle state with Bluetooth connected.
3. Check system logs.</t>
    <phoneticPr fontId="4" type="noConversion"/>
  </si>
  <si>
    <t>1. No call is in progress.
2. The system enters the normal power management state.
3. The normal power management state transition is recorded in logs.</t>
    <phoneticPr fontId="4" type="noConversion"/>
  </si>
  <si>
    <t>1. Keep the system idle without any user interaction.
2. Wait until the idle timeout expires.
3. Check system logs.</t>
    <phoneticPr fontId="4" type="noConversion"/>
  </si>
  <si>
    <t>1. Idle timeout starts counting.
2. The system transitions to sleep mode.
3. The sleep state transition is recorded in logs.</t>
    <phoneticPr fontId="4" type="noConversion"/>
  </si>
  <si>
    <t>1. Ensure no call is active.
2. Trigger power-saving conditions (idle timeout).
3. Observe system behavior.</t>
    <phoneticPr fontId="4" type="noConversion"/>
  </si>
  <si>
    <t>1. No call is in progress.
2. Power-saving transition is allowed.
3. The system transitions according to the power management state chart.</t>
    <phoneticPr fontId="4" type="noConversion"/>
  </si>
  <si>
    <t>NRL-87692</t>
  </si>
  <si>
    <t>1. HU is activated.
2. Bluetooth device is connected to the HU.
3. An active hands-free call is in progress.</t>
    <phoneticPr fontId="4" type="noConversion"/>
  </si>
  <si>
    <t>1. Transition Ignition state from ON to Ignition Pre-Off.
2. Observe the call status.
3. Observe the Bluetooth connection status.</t>
    <phoneticPr fontId="4" type="noConversion"/>
  </si>
  <si>
    <t>1. The HU remains powered on during Ignition state =  Pre-Off.
2. The active call is maintained without termination.
3. The Bluetooth connection remains active during Ignition State =  Pre-Off.</t>
    <phoneticPr fontId="4" type="noConversion"/>
  </si>
  <si>
    <t>1. HU is activated.
2. Bluetooth device is connected to the HU.
3. No call is in progress.</t>
    <phoneticPr fontId="4" type="noConversion"/>
  </si>
  <si>
    <t>1. Transition Ignition state from ON to Ignition Pre-Off.
2. Observe system behavior during Ignition Pre-Off.
3. Check system logs.</t>
    <phoneticPr fontId="4" type="noConversion"/>
  </si>
  <si>
    <t>1. The HU enters the normal power management state defined for Ignition Pre-Off.
2. No call-related behavior blocks power management transitions.
3. Power management state transition during Ignition Pre-Off is recorded according to VF169.</t>
    <phoneticPr fontId="4" type="noConversion"/>
  </si>
  <si>
    <t>1. Transition Ignition state from Ignition Pre-Off to Ignition Off while the call is active.
2. Observe the Bluetooth connection status.
3. Monitor system behavior.</t>
    <phoneticPr fontId="4" type="noConversion"/>
  </si>
  <si>
    <t>1. The active call is maintained.
2. The Bluetooth connection remains active during the active call.
3. The HU maintains power as required to support the active call according to VF169.</t>
    <phoneticPr fontId="4" type="noConversion"/>
  </si>
  <si>
    <t>1. HU is in Ignition Off state.
2. Bluetooth device is connected to the HU.
3. An active hands-free call is in progress.</t>
    <phoneticPr fontId="4" type="noConversion"/>
  </si>
  <si>
    <t>1. End the active call on the Bluetooth device.
2. Observe the Bluetooth connection status after call termination.
3. Wait for the configured power-down delay to expire.</t>
    <phoneticPr fontId="4" type="noConversion"/>
  </si>
  <si>
    <t>1. The call is terminated successfully.
2. The Bluetooth connection is disconnected in a controlled manner.
3. The HU initiates a controlled shutdown and enters the lowest power consumption state.</t>
    <phoneticPr fontId="4" type="noConversion"/>
  </si>
  <si>
    <t>NRL-87694</t>
  </si>
  <si>
    <t>1. HU is activated.
2. At least one Bluetooth device supporting HFP is paired with the HU.
3. At least one Bluetooth device not supporting HFP is paired with the HU.</t>
    <phoneticPr fontId="4" type="noConversion"/>
  </si>
  <si>
    <t>1. Open the Phone Devices or Device Manager screen.
2. Observe the list of Bluetooth devices shown on the screen.
3. Check the paired Bluetooth devices that do not support HFP.</t>
    <phoneticPr fontId="4" type="noConversion"/>
  </si>
  <si>
    <t>1. The Phone Devices list is displayed.
2. Only Bluetooth devices supporting HFP are displayed.
3. Bluetooth devices without HFP support are not displayed in the list.</t>
    <phoneticPr fontId="4" type="noConversion"/>
  </si>
  <si>
    <t>1. HU is activated.
2. At least one Bluetooth device supporting HFP is paired with the HU.
3. The Phone Devices screen is accessible.</t>
    <phoneticPr fontId="4" type="noConversion"/>
  </si>
  <si>
    <t>1. Pair an additional Bluetooth device that supports HFP with the HU.
2.Remove  an existing HFP-capable Bluetooth device from the HU.
3. Observe the Phone Devices list after each change.</t>
    <phoneticPr fontId="4" type="noConversion"/>
  </si>
  <si>
    <t>1. The newly paired HFP-capable device is added to the Phone Devices list.
2. The removed Bluetooth device is no longer displayed in the Phone Devices list.
3. The list is updated dynamically to reflect the current paired HFP-capable devices.</t>
    <phoneticPr fontId="4" type="noConversion"/>
  </si>
  <si>
    <t>NRL-87695</t>
  </si>
  <si>
    <t>1. HU is activated.
2. No paired Bluetooth devices supporting HFP are available on the HU.</t>
    <phoneticPr fontId="4" type="noConversion"/>
  </si>
  <si>
    <t>1. Open the Phone Devices or Device Manager screen.
2. Observe the content of the Phone Devices list.
3. Observe the screen message or UI state.</t>
    <phoneticPr fontId="4" type="noConversion"/>
  </si>
  <si>
    <t>1. The Phone Devices screen is displayed.
2. No Bluetooth devices are listed.
3. The system displays an empty-state list.</t>
    <phoneticPr fontId="4" type="noConversion"/>
  </si>
  <si>
    <t>1. HU is activated.
2. Multiple Bluetooth devices supporting HFP are paired with the HU.
3. The Phone Devices list is displayed.</t>
    <phoneticPr fontId="4" type="noConversion"/>
  </si>
  <si>
    <t>1. Select one Bluetooth device from the HFP-capable device list.
2. Confirm the selection if required by the UI.
3. Observe the active device status.</t>
    <phoneticPr fontId="4" type="noConversion"/>
  </si>
  <si>
    <t>1. The selected device is highlighted or marked as selected.
2. The selected device is set as the active Hands-Free Phone device.
3. Calls are routed through the selected Bluetooth device.</t>
    <phoneticPr fontId="4" type="noConversion"/>
  </si>
  <si>
    <t>#SYTD-IF-TEL_FUN-03668-v01#
(Revised)</t>
    <phoneticPr fontId="4" type="noConversion"/>
  </si>
  <si>
    <t>#SYTD-IF-TEL_FUN-03665-v01#
(Revised)</t>
    <phoneticPr fontId="4" type="noConversion"/>
  </si>
  <si>
    <t>#SYTD-IF-TEL_FUN-03659-v01#
(Revised)</t>
    <phoneticPr fontId="4" type="noConversion"/>
  </si>
  <si>
    <t>#SYTD-IF-TEL_FUN-00017-v01#
(Revised)</t>
    <phoneticPr fontId="4" type="noConversion"/>
  </si>
  <si>
    <t>#SYTD-IF-TEL_FUN-00016-v01#
(Revised)</t>
    <phoneticPr fontId="4" type="noConversion"/>
  </si>
  <si>
    <t>#SYTD-IF-BT_FUN-00064-v01#
(Revised)</t>
    <phoneticPr fontId="4" type="noConversion"/>
  </si>
  <si>
    <t>#SYTD-IF-BT_FUN-00214-v01#
(Revised)</t>
    <phoneticPr fontId="4" type="noConversion"/>
  </si>
  <si>
    <t>#SYTD-IF-BT_FUN-00241-v01#
(Revised)</t>
    <phoneticPr fontId="4" type="noConversion"/>
  </si>
  <si>
    <t>#SYTD-IF-BT_FUN-00242-v01#
(Revised)</t>
    <phoneticPr fontId="4" type="noConversion"/>
  </si>
  <si>
    <t>Pei</t>
    <phoneticPr fontId="4" type="noConversion"/>
  </si>
  <si>
    <t>newR1L-HFP-052</t>
  </si>
  <si>
    <t>newR1L-HFP-053</t>
  </si>
  <si>
    <t>newR1L-HFP-054</t>
  </si>
  <si>
    <t>newR1L-HFP-055</t>
  </si>
  <si>
    <t>newR1L-HFP-056</t>
  </si>
  <si>
    <t>newR1L-HFP-057</t>
  </si>
  <si>
    <t>newR1L-HFP-058</t>
  </si>
  <si>
    <t>newR1L-HFP-059</t>
  </si>
  <si>
    <t>newR1L-HFP-060</t>
  </si>
  <si>
    <t>newR1L-HFP-061</t>
  </si>
  <si>
    <t>newR1L-HFP-062</t>
  </si>
  <si>
    <t>newR1L-HFP-063</t>
  </si>
  <si>
    <t>newR1L-HFP-064</t>
  </si>
  <si>
    <t>newR1L-HFP-065</t>
  </si>
  <si>
    <t>newR1L-HFP-066</t>
  </si>
  <si>
    <t>newR1L-HFP-067</t>
  </si>
  <si>
    <t>newR1L-HFP-068</t>
  </si>
  <si>
    <t>newR1L-HFP-069</t>
  </si>
  <si>
    <t>newR1L-HFP-070</t>
  </si>
  <si>
    <t>newR1L-HFP-071</t>
  </si>
  <si>
    <t>newR1L-HFP-072</t>
  </si>
  <si>
    <t>newR1L-HFP-073</t>
  </si>
  <si>
    <t>newR1L-HFP-074</t>
  </si>
  <si>
    <t>newR1L-HFP-075</t>
  </si>
  <si>
    <t>newR1L-HFP-076</t>
  </si>
  <si>
    <t>newR1L-HFP-077</t>
  </si>
  <si>
    <t>newR1L-HFP-078</t>
  </si>
  <si>
    <t>newR1L-HFP-079</t>
  </si>
  <si>
    <t>newR1L-HFP-080</t>
  </si>
  <si>
    <t>newR1L-HFP-081</t>
  </si>
  <si>
    <t>newR1L-HFP-082</t>
  </si>
  <si>
    <t>newR1L-HFP-083</t>
  </si>
  <si>
    <t>newR1L-HFP-084</t>
  </si>
  <si>
    <t>newR1L-HFP-085</t>
  </si>
  <si>
    <t>newR1L-HFP-086</t>
  </si>
  <si>
    <t>newR1L-HFP-087</t>
  </si>
  <si>
    <t>newR1L-HFP-088</t>
  </si>
  <si>
    <t>newR1L-HFP-089</t>
  </si>
  <si>
    <t>newR1L-HFP-090</t>
  </si>
  <si>
    <t>newR1L-HFP-091</t>
  </si>
  <si>
    <t>newR1L-HFP-092</t>
  </si>
  <si>
    <t>newR1L-HFP-093</t>
  </si>
  <si>
    <t>newR1L-HFP-094</t>
  </si>
  <si>
    <t>newR1L-HFP-095</t>
  </si>
  <si>
    <r>
      <t xml:space="preserve">The HU shall display phone numbers using the folders with an additional folder of 'Favorites'.
</t>
    </r>
    <r>
      <rPr>
        <b/>
        <sz val="10"/>
        <rFont val="Times New Roman"/>
        <family val="1"/>
      </rPr>
      <t>Verify “Favorites” folder exists in Phonebook interface.</t>
    </r>
    <phoneticPr fontId="4" type="noConversion"/>
  </si>
  <si>
    <r>
      <t xml:space="preserve">The HU shall display phone numbers using the folders with an additional folder of 'Favorites'. 
</t>
    </r>
    <r>
      <rPr>
        <b/>
        <sz val="10"/>
        <rFont val="Times New Roman"/>
        <family val="1"/>
      </rPr>
      <t>Verify contacts can be added and displayed in “Favorites” folder.</t>
    </r>
    <phoneticPr fontId="4" type="noConversion"/>
  </si>
  <si>
    <t>NRL-87696</t>
  </si>
  <si>
    <t>NRL-87698</t>
  </si>
  <si>
    <t>NRL-87699</t>
  </si>
  <si>
    <t>NRL-87701</t>
  </si>
  <si>
    <t>NRL-87702</t>
  </si>
  <si>
    <t>NRL-87703</t>
  </si>
  <si>
    <t>NRL-87704</t>
  </si>
  <si>
    <t>NRL-87706</t>
  </si>
  <si>
    <t>NRL-87707</t>
  </si>
  <si>
    <t>NRL-87708</t>
  </si>
  <si>
    <t>NRL-87710</t>
  </si>
  <si>
    <t>NRL-87711</t>
  </si>
  <si>
    <t>NRL-87712</t>
  </si>
  <si>
    <t>NRL-87713</t>
  </si>
  <si>
    <t>NRL-87714</t>
  </si>
  <si>
    <t>NRL-87715</t>
  </si>
  <si>
    <t>NRL-87716</t>
  </si>
  <si>
    <t>NRL-87717</t>
  </si>
  <si>
    <t>NRL-87718</t>
  </si>
  <si>
    <t>NRL-87720</t>
  </si>
  <si>
    <t>NRL-87721</t>
  </si>
  <si>
    <t>NRL-87723</t>
  </si>
  <si>
    <t>NRL-87724</t>
  </si>
  <si>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b/>
        <sz val="10"/>
        <rFont val="Times New Roman"/>
        <family val="1"/>
      </rPr>
      <t>Verify Emergency and Towing Assistance entries in Favorites cannot be edited.</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</si>
  <si>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b/>
        <sz val="10"/>
        <rFont val="Times New Roman"/>
        <family val="1"/>
      </rPr>
      <t xml:space="preserve">Verify Emergency and Towing Assistance entries exist in Favorites when E-Call/Assist-Call is not supported.
</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</si>
  <si>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b/>
        <sz val="10"/>
        <rFont val="Times New Roman"/>
        <family val="1"/>
      </rPr>
      <t>Verify Emergency and Towing Assistance entries in Favorites cannot be deleted.</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</si>
  <si>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These 2 phone numbers shall be stored as 'Other' phone numbers. The user shall be allowed to edit the 'Emergency' phone number field. The user shall be allowed to edit the 'Towing Assistance' phone number field. 
</t>
    </r>
    <r>
      <rPr>
        <b/>
        <sz val="10"/>
        <rFont val="Times New Roman"/>
        <family val="1"/>
      </rPr>
      <t>Verify name fields of Emergency and Towing Assistance entries cannot be edited.</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</si>
  <si>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These 2 phone numbers shall be stored as 'Other' phone numbers. The user shall be allowed to edit the 'Emergency' phone number field. The user shall be allowed to edit the 'Towing Assistance' phone number field. 
</t>
    </r>
    <r>
      <rPr>
        <b/>
        <sz val="10"/>
        <rFont val="Times New Roman"/>
        <family val="1"/>
      </rPr>
      <t>Verify phone number fields of Emergency and Towing Assistance entries can be edited.</t>
    </r>
    <phoneticPr fontId="4" type="noConversion"/>
  </si>
  <si>
    <r>
      <t xml:space="preserve">If the HU does not have a Call In Progress it shall behave as defined in the latest version of the [Common Power Management State-Chart] - {CFTS009-599} or {CFTS009-1583}. 
</t>
    </r>
    <r>
      <rPr>
        <b/>
        <sz val="10"/>
        <rFont val="Times New Roman"/>
        <family val="1"/>
      </rPr>
      <t>Verify system enters normal power management state when no call is active.</t>
    </r>
    <phoneticPr fontId="4" type="noConversion"/>
  </si>
  <si>
    <r>
      <t xml:space="preserve">If the HU does not have a Call In Progress it shall behave as defined in the latest version of the [Common Power Management State-Chart] - {CFTS009-599} or {CFTS009-1583}. 
</t>
    </r>
    <r>
      <rPr>
        <b/>
        <sz val="10"/>
        <rFont val="Times New Roman"/>
        <family val="1"/>
      </rPr>
      <t>Verify system enters sleep mode after idle timeout when no call is active.</t>
    </r>
    <phoneticPr fontId="4" type="noConversion"/>
  </si>
  <si>
    <r>
      <t xml:space="preserve">If the HU does not have a Call In Progress it shall behave as defined in the latest version of the [Common Power Management State-Chart] - {CFTS009-599} or {CFTS009-1583}. 
</t>
    </r>
    <r>
      <rPr>
        <b/>
        <sz val="10"/>
        <rFont val="Times New Roman"/>
        <family val="1"/>
      </rPr>
      <t>Verify no call in progress does not block power-saving transitions.</t>
    </r>
    <phoneticPr fontId="4" type="noConversion"/>
  </si>
  <si>
    <r>
      <t xml:space="preserve">For more details related to "Hands Free " functionality in the following Ignition Working Conditions: 
  Ignition Pre Off 
  Ignition Off 
 refer to {VF169}. 
</t>
    </r>
    <r>
      <rPr>
        <b/>
        <sz val="10"/>
        <rFont val="Times New Roman"/>
        <family val="1"/>
      </rPr>
      <t>Verify HU maintains call and Bluetooth connection during Ignition Pre-Off with an active call.</t>
    </r>
    <phoneticPr fontId="4" type="noConversion"/>
  </si>
  <si>
    <r>
      <t xml:space="preserve">For more details related to "Hands Free " functionality in the following Ignition Working Conditions: 
  Ignition Pre Off 
  Ignition Off 
 refer to {VF169}. 
</t>
    </r>
    <r>
      <rPr>
        <b/>
        <sz val="10"/>
        <rFont val="Times New Roman"/>
        <family val="1"/>
      </rPr>
      <t>Verify HU follows normal power management behavior during Ignition Pre-Off with no active call.</t>
    </r>
    <phoneticPr fontId="4" type="noConversion"/>
  </si>
  <si>
    <r>
      <t xml:space="preserve">For more details related to "Hands Free " functionality in the following Ignition Working Conditions: 
  Ignition Pre Off 
  Ignition Off 
 refer to {VF169}. 
</t>
    </r>
    <r>
      <rPr>
        <b/>
        <sz val="10"/>
        <rFont val="Times New Roman"/>
        <family val="1"/>
      </rPr>
      <t>Verify Bluetooth connection is maintained when Ignition turns Off during an active call.</t>
    </r>
    <phoneticPr fontId="4" type="noConversion"/>
  </si>
  <si>
    <r>
      <t xml:space="preserve">For more details related to "Hands Free " functionality in the following Ignition Working Conditions: 
  Ignition Pre Off 
  Ignition Off 
 refer to {VF169}. 
</t>
    </r>
    <r>
      <rPr>
        <b/>
        <sz val="10"/>
        <rFont val="Times New Roman"/>
        <family val="1"/>
      </rPr>
      <t>Verify controlled Bluetooth disconnection and power-down after call ends during Ignition Off.</t>
    </r>
    <phoneticPr fontId="4" type="noConversion"/>
  </si>
  <si>
    <r>
      <t xml:space="preserve">Phone Devices screen or Device Manager screen are able to display a list of Hands Free Phone capable Bluetooth devices. 
</t>
    </r>
    <r>
      <rPr>
        <b/>
        <sz val="10"/>
        <rFont val="Times New Roman"/>
        <family val="1"/>
      </rPr>
      <t>Verify only HFP-capable Bluetooth devices are listed in Phone Devices screen.</t>
    </r>
    <phoneticPr fontId="4" type="noConversion"/>
  </si>
  <si>
    <r>
      <t xml:space="preserve">Phone Devices screen or Device Manager screen are able to display a list of Hands Free Phone capable Bluetooth devices. 
</t>
    </r>
    <r>
      <rPr>
        <b/>
        <sz val="10"/>
        <rFont val="Times New Roman"/>
        <family val="1"/>
      </rPr>
      <t>Verify empty state handling when no HFP-capable Bluetooth devices are available.</t>
    </r>
    <phoneticPr fontId="4" type="noConversion"/>
  </si>
  <si>
    <r>
      <t xml:space="preserve">The HFP lists in Phone Devices screen or Device Manager screen can be selected by user. 
</t>
    </r>
    <r>
      <rPr>
        <b/>
        <sz val="10"/>
        <rFont val="Times New Roman"/>
        <family val="1"/>
      </rPr>
      <t>Verify HFP-capable device list updates when devices are paired or removed.</t>
    </r>
    <phoneticPr fontId="4" type="noConversion"/>
  </si>
  <si>
    <r>
      <t xml:space="preserve">The HFP lists in Phone Devices screen or Device Manager screen can be selected by user. 
</t>
    </r>
    <r>
      <rPr>
        <b/>
        <sz val="10"/>
        <rFont val="Times New Roman"/>
        <family val="1"/>
      </rPr>
      <t>Verify user can select an HFP-capable Bluetooth device as the active Hands-Free Phone device.</t>
    </r>
    <phoneticPr fontId="4" type="noConversion"/>
  </si>
  <si>
    <r>
      <t xml:space="preserve">Table {CFTS026-1185} Phone Book and Call Logs Constants Table 
Name of constant: The name of constant used in features.
Value: Value of constant
Unit: Unit of constant 
 &lt;MaxCount-OutgoingCallLogEntries&gt; | 60 | records 
</t>
    </r>
    <r>
      <rPr>
        <b/>
        <sz val="10"/>
        <rFont val="Times New Roman"/>
        <family val="1"/>
      </rPr>
      <t>Verify adding outgoing call log does not increase entry count beyond 60.</t>
    </r>
    <phoneticPr fontId="4" type="noConversion"/>
  </si>
  <si>
    <r>
      <t xml:space="preserve">Table {CFTS026-1185} Phone Book and Call Logs Constants Table 
Name of constant: The name of constant used in features.
Value: Value of constant
Unit: Unit of constant 
 &lt;MaxCount-OutgoingCallLogEntries&gt; | 60 | records 
</t>
    </r>
    <r>
      <rPr>
        <b/>
        <sz val="10"/>
        <rFont val="Times New Roman"/>
        <family val="1"/>
      </rPr>
      <t>Verify deleting outgoing call log updates HU correctly.</t>
    </r>
    <phoneticPr fontId="4" type="noConversion"/>
  </si>
  <si>
    <r>
      <t xml:space="preserve">Table {CFTS026-1185} Phone Book and Call Logs Constants Table 
Name of constant: The name of constant used in features.
Value: Value of constant
Unit: Unit of constant
 &lt;MaxCount-IncomingCallLogEntries&gt; | 60 | records
</t>
    </r>
    <r>
      <rPr>
        <b/>
        <sz val="10"/>
        <rFont val="Times New Roman"/>
        <family val="1"/>
      </rPr>
      <t>Verify adding incoming call log does not increase entry count beyond 60.</t>
    </r>
    <phoneticPr fontId="4" type="noConversion"/>
  </si>
  <si>
    <r>
      <t xml:space="preserve">Table {CFTS026-1185} Phone Book and Call Logs Constants Table 
Name of constant: The name of constant used in features.
Value: Value of constant
Unit: Unit of constant
 &lt;MaxCount-IncomingCallLogEntries&gt; | 60 | records
</t>
    </r>
    <r>
      <rPr>
        <b/>
        <sz val="10"/>
        <rFont val="Times New Roman"/>
        <family val="1"/>
      </rPr>
      <t>Verify deleting incoming call log updates HU correctly.</t>
    </r>
    <r>
      <rPr>
        <sz val="10"/>
        <rFont val="Times New Roman"/>
        <family val="1"/>
      </rPr>
      <t xml:space="preserve"> </t>
    </r>
    <phoneticPr fontId="4" type="noConversion"/>
  </si>
  <si>
    <r>
      <t xml:space="preserve">Table {CFTS026-1185} Phone Book and Call Logs Constants Table 
Name of constant: The name of constant used in features.
Value: Value of constant
Unit: Unit of constant
 &lt;MaxCount-MissedCallLogEntries&gt; | 60 | records 
</t>
    </r>
    <r>
      <rPr>
        <b/>
        <sz val="10"/>
        <rFont val="Times New Roman"/>
        <family val="1"/>
      </rPr>
      <t>Verify adding MissedCall Log does not increase entry count beyond 60.</t>
    </r>
    <phoneticPr fontId="4" type="noConversion"/>
  </si>
  <si>
    <r>
      <t xml:space="preserve">Table {CFTS026-1185} Phone Book and Call Logs Constants Table 
Name of constant: The name of constant used in features.
Value: Value of constant
Unit: Unit of constant
 &lt;MaxCount-MissedCallLogEntries&gt; | 60 | records 
</t>
    </r>
    <r>
      <rPr>
        <b/>
        <sz val="10"/>
        <rFont val="Times New Roman"/>
        <family val="1"/>
      </rPr>
      <t xml:space="preserve">Verify deleting missed coming call log updates HU correctly. </t>
    </r>
    <phoneticPr fontId="4" type="noConversion"/>
  </si>
  <si>
    <r>
      <t xml:space="preserve">Table {CFTS026-1185} Phone Book and Call Logs Constants Table 
Name of constant: The name of constant used in features.
Value: Value of constant
Unit: Unit of constant
 &lt;MaxCount-AllCallLogEntries&gt; | 180 | records 
</t>
    </r>
    <r>
      <rPr>
        <b/>
        <sz val="10"/>
        <rFont val="Times New Roman"/>
        <family val="1"/>
      </rPr>
      <t>Verify adding All Call Log does not increase entry count beyond 60.</t>
    </r>
    <phoneticPr fontId="4" type="noConversion"/>
  </si>
  <si>
    <r>
      <t xml:space="preserve">Table {CFTS026-1185} Phone Book and Call Logs Constants Table 
Name of constant: The name of constant used in features.
Value: Value of constant
Unit: Unit of constant
 &lt;MaxCount-AllCallLogEntries&gt; | 180 | records 
</t>
    </r>
    <r>
      <rPr>
        <b/>
        <sz val="10"/>
        <rFont val="Times New Roman"/>
        <family val="1"/>
      </rPr>
      <t xml:space="preserve">Verify deleting all call log updates HU correctly.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</si>
</sst>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2">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0"/>
      <color rgb="FF0432FF"/>
      <name val="Times New Roman"/>
      <family val="1"/>
    </font>
    <font>
      <sz val="10"/>
      <color rgb="FF0432FF"/>
      <name val="新細明體"/>
      <family val="1"/>
      <charset val="136"/>
    </font>
    <font>
      <sz val="16"/>
      <name val="新細明體"/>
      <family val="1"/>
      <charset val="136"/>
    </font>
    <font>
      <b/>
      <sz val="10"/>
      <name val="Times New Roman"/>
      <family val="1"/>
    </font>
    <font>
      <sz val="12"/>
      <color rgb="FF000000"/>
      <name val="Calibri"/>
      <family val="2"/>
    </font>
    <font>
      <sz val="10"/>
      <color rgb="FF000000"/>
      <name val="Times New Roman"/>
      <family val="1"/>
    </font>
    <font>
      <sz val="10"/>
      <color rgb="FFFF0000"/>
      <name val="Times New Roman"/>
      <family val="1"/>
    </font>
    <font>
      <sz val="12"/>
      <name val="Calibri"/>
      <family val="2"/>
    </font>
    <font>
      <sz val="12"/>
      <color theme="1"/>
      <name val="細明體"/>
      <family val="1"/>
      <charset val="136"/>
    </font>
    <font>
      <sz val="12"/>
      <color theme="1"/>
      <name val="微軟正黑體"/>
      <family val="1"/>
      <charset val="136"/>
    </font>
    <font>
      <u/>
      <sz val="10"/>
      <color theme="10"/>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8">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41" fillId="0" borderId="17" xfId="14" applyFont="1" applyBorder="1" applyAlignment="1">
      <alignment horizontal="center" vertical="center" wrapText="1"/>
    </xf>
    <xf numFmtId="0" fontId="71" fillId="3" borderId="44" xfId="0" applyFont="1" applyFill="1" applyBorder="1" applyAlignment="1">
      <alignment horizontal="center" vertical="center" wrapText="1"/>
    </xf>
    <xf numFmtId="0" fontId="55" fillId="2" borderId="45" xfId="0" applyFont="1" applyFill="1" applyBorder="1" applyAlignment="1">
      <alignment horizontal="center" vertical="center" wrapText="1"/>
    </xf>
    <xf numFmtId="0" fontId="55" fillId="0" borderId="45" xfId="0" applyFont="1" applyBorder="1" applyAlignment="1">
      <alignment horizontal="center" vertical="center" wrapText="1"/>
    </xf>
    <xf numFmtId="0" fontId="55" fillId="0" borderId="45" xfId="0" applyFont="1" applyBorder="1" applyAlignment="1">
      <alignment horizontal="left" vertical="top" wrapText="1"/>
    </xf>
    <xf numFmtId="0" fontId="55" fillId="2" borderId="45" xfId="0" applyFont="1" applyFill="1" applyBorder="1" applyAlignment="1">
      <alignment horizontal="left" vertical="top" wrapText="1"/>
    </xf>
    <xf numFmtId="0" fontId="55" fillId="2" borderId="45" xfId="0" applyFont="1" applyFill="1" applyBorder="1" applyAlignment="1">
      <alignment horizontal="left" vertical="center" wrapText="1"/>
    </xf>
    <xf numFmtId="14" fontId="55" fillId="2" borderId="0" xfId="0" applyNumberFormat="1" applyFont="1" applyFill="1" applyAlignment="1">
      <alignment horizontal="left" vertical="center" wrapText="1"/>
    </xf>
    <xf numFmtId="0" fontId="55" fillId="0" borderId="0" xfId="0" applyFont="1" applyAlignment="1">
      <alignment horizontal="left" vertical="center" wrapText="1"/>
    </xf>
    <xf numFmtId="0" fontId="55" fillId="4" borderId="45" xfId="0" applyFont="1" applyFill="1" applyBorder="1" applyAlignment="1">
      <alignment horizontal="left" vertical="top" wrapText="1"/>
    </xf>
    <xf numFmtId="0" fontId="48" fillId="0" borderId="51" xfId="18" applyFont="1" applyBorder="1" applyAlignment="1">
      <alignment horizontal="center" vertical="center" wrapText="1"/>
    </xf>
    <xf numFmtId="179" fontId="48" fillId="0" borderId="48" xfId="18" applyNumberFormat="1" applyFont="1" applyBorder="1" applyAlignment="1">
      <alignment horizontal="center" vertical="center" wrapText="1"/>
    </xf>
    <xf numFmtId="0" fontId="81" fillId="0" borderId="45" xfId="17" applyFont="1" applyFill="1" applyBorder="1" applyAlignment="1">
      <alignment horizontal="center" vertical="center" wrapText="1"/>
    </xf>
    <xf numFmtId="0" fontId="55" fillId="0" borderId="45" xfId="0" applyFont="1" applyBorder="1" applyAlignment="1">
      <alignment horizontal="left"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8" fillId="0" borderId="49" xfId="0" applyFont="1" applyBorder="1" applyAlignment="1">
      <alignment horizontal="center" vertical="center"/>
    </xf>
    <xf numFmtId="0" fontId="78" fillId="0" borderId="50" xfId="0" applyFont="1" applyBorder="1"/>
    <xf numFmtId="0" fontId="78" fillId="0" borderId="47" xfId="0" applyFont="1" applyBorder="1"/>
    <xf numFmtId="0" fontId="48" fillId="0" borderId="1" xfId="18" applyFont="1" applyBorder="1" applyAlignment="1">
      <alignment horizontal="center" vertical="center" wrapText="1"/>
    </xf>
    <xf numFmtId="0" fontId="48" fillId="0" borderId="2" xfId="18" applyFont="1" applyBorder="1" applyAlignment="1">
      <alignment horizontal="center" vertical="center"/>
    </xf>
    <xf numFmtId="0" fontId="48" fillId="0" borderId="3" xfId="18" applyFont="1" applyBorder="1" applyAlignment="1">
      <alignment horizontal="center" vertical="center"/>
    </xf>
    <xf numFmtId="0" fontId="48" fillId="0" borderId="4" xfId="18" applyFont="1" applyBorder="1" applyAlignment="1">
      <alignment horizontal="center" vertical="center"/>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 TargetMode="External"/><Relationship Id="rId21" Type="http://schemas.openxmlformats.org/officeDocument/2006/relationships/hyperlink" Target="http://10.56.56.222/polarion/" TargetMode="External"/><Relationship Id="rId42" Type="http://schemas.openxmlformats.org/officeDocument/2006/relationships/hyperlink" Target="http://10.56.56.222/polarion/" TargetMode="External"/><Relationship Id="rId47" Type="http://schemas.openxmlformats.org/officeDocument/2006/relationships/hyperlink" Target="http://10.56.56.222/polarion/" TargetMode="External"/><Relationship Id="rId63" Type="http://schemas.openxmlformats.org/officeDocument/2006/relationships/hyperlink" Target="http://10.56.56.222/polarion/" TargetMode="External"/><Relationship Id="rId68" Type="http://schemas.openxmlformats.org/officeDocument/2006/relationships/hyperlink" Target="http://10.56.56.222/polarion/" TargetMode="External"/><Relationship Id="rId84" Type="http://schemas.openxmlformats.org/officeDocument/2006/relationships/hyperlink" Target="http://10.56.56.222/polarion/" TargetMode="External"/><Relationship Id="rId89" Type="http://schemas.openxmlformats.org/officeDocument/2006/relationships/hyperlink" Target="http://10.56.56.222/polarion/" TargetMode="External"/><Relationship Id="rId16" Type="http://schemas.openxmlformats.org/officeDocument/2006/relationships/hyperlink" Target="http://10.56.56.222/polarion/" TargetMode="External"/><Relationship Id="rId11" Type="http://schemas.openxmlformats.org/officeDocument/2006/relationships/hyperlink" Target="http://10.56.56.222/polarion/" TargetMode="External"/><Relationship Id="rId32" Type="http://schemas.openxmlformats.org/officeDocument/2006/relationships/hyperlink" Target="http://10.56.56.222/polarion/" TargetMode="External"/><Relationship Id="rId37" Type="http://schemas.openxmlformats.org/officeDocument/2006/relationships/hyperlink" Target="http://10.56.56.222/polarion/" TargetMode="External"/><Relationship Id="rId53" Type="http://schemas.openxmlformats.org/officeDocument/2006/relationships/hyperlink" Target="http://10.56.56.222/polarion/" TargetMode="External"/><Relationship Id="rId58" Type="http://schemas.openxmlformats.org/officeDocument/2006/relationships/hyperlink" Target="http://10.56.56.222/polarion/" TargetMode="External"/><Relationship Id="rId74" Type="http://schemas.openxmlformats.org/officeDocument/2006/relationships/hyperlink" Target="http://10.56.56.222/polarion/" TargetMode="External"/><Relationship Id="rId79" Type="http://schemas.openxmlformats.org/officeDocument/2006/relationships/hyperlink" Target="http://10.56.56.222/polarion/" TargetMode="External"/><Relationship Id="rId5" Type="http://schemas.openxmlformats.org/officeDocument/2006/relationships/hyperlink" Target="http://10.56.56.222/polarion/" TargetMode="External"/><Relationship Id="rId90" Type="http://schemas.openxmlformats.org/officeDocument/2006/relationships/hyperlink" Target="http://10.56.56.222/polarion/" TargetMode="External"/><Relationship Id="rId95" Type="http://schemas.openxmlformats.org/officeDocument/2006/relationships/vmlDrawing" Target="../drawings/vmlDrawing1.vml"/><Relationship Id="rId22" Type="http://schemas.openxmlformats.org/officeDocument/2006/relationships/hyperlink" Target="http://10.56.56.222/polarion/" TargetMode="External"/><Relationship Id="rId27" Type="http://schemas.openxmlformats.org/officeDocument/2006/relationships/hyperlink" Target="http://10.56.56.222/polarion/" TargetMode="External"/><Relationship Id="rId43" Type="http://schemas.openxmlformats.org/officeDocument/2006/relationships/hyperlink" Target="http://10.56.56.222/polarion/" TargetMode="External"/><Relationship Id="rId48" Type="http://schemas.openxmlformats.org/officeDocument/2006/relationships/hyperlink" Target="http://10.56.56.222/polarion/" TargetMode="External"/><Relationship Id="rId64" Type="http://schemas.openxmlformats.org/officeDocument/2006/relationships/hyperlink" Target="http://10.56.56.222/polarion/" TargetMode="External"/><Relationship Id="rId69" Type="http://schemas.openxmlformats.org/officeDocument/2006/relationships/hyperlink" Target="http://10.56.56.222/polarion/" TargetMode="External"/><Relationship Id="rId8" Type="http://schemas.openxmlformats.org/officeDocument/2006/relationships/hyperlink" Target="http://10.56.56.222/polarion/" TargetMode="External"/><Relationship Id="rId51" Type="http://schemas.openxmlformats.org/officeDocument/2006/relationships/hyperlink" Target="http://10.56.56.222/polarion/" TargetMode="External"/><Relationship Id="rId72" Type="http://schemas.openxmlformats.org/officeDocument/2006/relationships/hyperlink" Target="http://10.56.56.222/polarion/" TargetMode="External"/><Relationship Id="rId80" Type="http://schemas.openxmlformats.org/officeDocument/2006/relationships/hyperlink" Target="http://10.56.56.222/polarion/" TargetMode="External"/><Relationship Id="rId85" Type="http://schemas.openxmlformats.org/officeDocument/2006/relationships/hyperlink" Target="http://10.56.56.222/polarion/" TargetMode="External"/><Relationship Id="rId93" Type="http://schemas.openxmlformats.org/officeDocument/2006/relationships/printerSettings" Target="../printerSettings/printerSettings5.bin"/><Relationship Id="rId3" Type="http://schemas.openxmlformats.org/officeDocument/2006/relationships/hyperlink" Target="http://10.56.56.222/polarion/" TargetMode="External"/><Relationship Id="rId12" Type="http://schemas.openxmlformats.org/officeDocument/2006/relationships/hyperlink" Target="http://10.56.56.222/polarion/" TargetMode="External"/><Relationship Id="rId17" Type="http://schemas.openxmlformats.org/officeDocument/2006/relationships/hyperlink" Target="http://10.56.56.222/polarion/" TargetMode="External"/><Relationship Id="rId25" Type="http://schemas.openxmlformats.org/officeDocument/2006/relationships/hyperlink" Target="http://10.56.56.222/polarion/" TargetMode="External"/><Relationship Id="rId33" Type="http://schemas.openxmlformats.org/officeDocument/2006/relationships/hyperlink" Target="http://10.56.56.222/polarion/" TargetMode="External"/><Relationship Id="rId38" Type="http://schemas.openxmlformats.org/officeDocument/2006/relationships/hyperlink" Target="http://10.56.56.222/polarion/" TargetMode="External"/><Relationship Id="rId46" Type="http://schemas.openxmlformats.org/officeDocument/2006/relationships/hyperlink" Target="http://10.56.56.222/polarion/" TargetMode="External"/><Relationship Id="rId59" Type="http://schemas.openxmlformats.org/officeDocument/2006/relationships/hyperlink" Target="http://10.56.56.222/polarion/" TargetMode="External"/><Relationship Id="rId67" Type="http://schemas.openxmlformats.org/officeDocument/2006/relationships/hyperlink" Target="http://10.56.56.222/polarion/" TargetMode="External"/><Relationship Id="rId20" Type="http://schemas.openxmlformats.org/officeDocument/2006/relationships/hyperlink" Target="http://10.56.56.222/polarion/" TargetMode="External"/><Relationship Id="rId41" Type="http://schemas.openxmlformats.org/officeDocument/2006/relationships/hyperlink" Target="http://10.56.56.222/polarion/" TargetMode="External"/><Relationship Id="rId54" Type="http://schemas.openxmlformats.org/officeDocument/2006/relationships/hyperlink" Target="http://10.56.56.222/polarion/" TargetMode="External"/><Relationship Id="rId62" Type="http://schemas.openxmlformats.org/officeDocument/2006/relationships/hyperlink" Target="http://10.56.56.222/polarion/" TargetMode="External"/><Relationship Id="rId70" Type="http://schemas.openxmlformats.org/officeDocument/2006/relationships/hyperlink" Target="http://10.56.56.222/polarion/" TargetMode="External"/><Relationship Id="rId75" Type="http://schemas.openxmlformats.org/officeDocument/2006/relationships/hyperlink" Target="http://10.56.56.222/polarion/" TargetMode="External"/><Relationship Id="rId83" Type="http://schemas.openxmlformats.org/officeDocument/2006/relationships/hyperlink" Target="http://10.56.56.222/polarion/" TargetMode="External"/><Relationship Id="rId88" Type="http://schemas.openxmlformats.org/officeDocument/2006/relationships/hyperlink" Target="http://10.56.56.222/polarion/" TargetMode="External"/><Relationship Id="rId91" Type="http://schemas.openxmlformats.org/officeDocument/2006/relationships/hyperlink" Target="http://10.56.56.222/polarion/" TargetMode="External"/><Relationship Id="rId96" Type="http://schemas.openxmlformats.org/officeDocument/2006/relationships/comments" Target="../comments1.xml"/><Relationship Id="rId1" Type="http://schemas.openxmlformats.org/officeDocument/2006/relationships/hyperlink" Target="http://10.56.56.222/polarion/" TargetMode="External"/><Relationship Id="rId6" Type="http://schemas.openxmlformats.org/officeDocument/2006/relationships/hyperlink" Target="http://10.56.56.222/polarion/" TargetMode="External"/><Relationship Id="rId15" Type="http://schemas.openxmlformats.org/officeDocument/2006/relationships/hyperlink" Target="http://10.56.56.222/polarion/" TargetMode="External"/><Relationship Id="rId23" Type="http://schemas.openxmlformats.org/officeDocument/2006/relationships/hyperlink" Target="http://10.56.56.222/polarion/" TargetMode="External"/><Relationship Id="rId28" Type="http://schemas.openxmlformats.org/officeDocument/2006/relationships/hyperlink" Target="http://10.56.56.222/polarion/" TargetMode="External"/><Relationship Id="rId36" Type="http://schemas.openxmlformats.org/officeDocument/2006/relationships/hyperlink" Target="http://10.56.56.222/polarion/" TargetMode="External"/><Relationship Id="rId49" Type="http://schemas.openxmlformats.org/officeDocument/2006/relationships/hyperlink" Target="http://10.56.56.222/polarion/" TargetMode="External"/><Relationship Id="rId57" Type="http://schemas.openxmlformats.org/officeDocument/2006/relationships/hyperlink" Target="http://10.56.56.222/polarion/" TargetMode="External"/><Relationship Id="rId10" Type="http://schemas.openxmlformats.org/officeDocument/2006/relationships/hyperlink" Target="http://10.56.56.222/polarion/" TargetMode="External"/><Relationship Id="rId31" Type="http://schemas.openxmlformats.org/officeDocument/2006/relationships/hyperlink" Target="http://10.56.56.222/polarion/" TargetMode="External"/><Relationship Id="rId44" Type="http://schemas.openxmlformats.org/officeDocument/2006/relationships/hyperlink" Target="http://10.56.56.222/polarion/" TargetMode="External"/><Relationship Id="rId52" Type="http://schemas.openxmlformats.org/officeDocument/2006/relationships/hyperlink" Target="http://10.56.56.222/polarion/" TargetMode="External"/><Relationship Id="rId60" Type="http://schemas.openxmlformats.org/officeDocument/2006/relationships/hyperlink" Target="http://10.56.56.222/polarion/" TargetMode="External"/><Relationship Id="rId65" Type="http://schemas.openxmlformats.org/officeDocument/2006/relationships/hyperlink" Target="http://10.56.56.222/polarion/" TargetMode="External"/><Relationship Id="rId73" Type="http://schemas.openxmlformats.org/officeDocument/2006/relationships/hyperlink" Target="http://10.56.56.222/polarion/" TargetMode="External"/><Relationship Id="rId78" Type="http://schemas.openxmlformats.org/officeDocument/2006/relationships/hyperlink" Target="http://10.56.56.222/polarion/" TargetMode="External"/><Relationship Id="rId81" Type="http://schemas.openxmlformats.org/officeDocument/2006/relationships/hyperlink" Target="http://10.56.56.222/polarion/" TargetMode="External"/><Relationship Id="rId86" Type="http://schemas.openxmlformats.org/officeDocument/2006/relationships/hyperlink" Target="http://10.56.56.222/polarion/" TargetMode="External"/><Relationship Id="rId94" Type="http://schemas.openxmlformats.org/officeDocument/2006/relationships/drawing" Target="../drawings/drawing6.xml"/><Relationship Id="rId4" Type="http://schemas.openxmlformats.org/officeDocument/2006/relationships/hyperlink" Target="http://10.56.56.222/polarion/" TargetMode="External"/><Relationship Id="rId9" Type="http://schemas.openxmlformats.org/officeDocument/2006/relationships/hyperlink" Target="http://10.56.56.222/polarion/" TargetMode="External"/><Relationship Id="rId13" Type="http://schemas.openxmlformats.org/officeDocument/2006/relationships/hyperlink" Target="http://10.56.56.222/polarion/" TargetMode="External"/><Relationship Id="rId18" Type="http://schemas.openxmlformats.org/officeDocument/2006/relationships/hyperlink" Target="http://10.56.56.222/polarion/" TargetMode="External"/><Relationship Id="rId39" Type="http://schemas.openxmlformats.org/officeDocument/2006/relationships/hyperlink" Target="http://10.56.56.222/polarion/" TargetMode="External"/><Relationship Id="rId34" Type="http://schemas.openxmlformats.org/officeDocument/2006/relationships/hyperlink" Target="http://10.56.56.222/polarion/" TargetMode="External"/><Relationship Id="rId50" Type="http://schemas.openxmlformats.org/officeDocument/2006/relationships/hyperlink" Target="http://10.56.56.222/polarion/" TargetMode="External"/><Relationship Id="rId55" Type="http://schemas.openxmlformats.org/officeDocument/2006/relationships/hyperlink" Target="http://10.56.56.222/polarion/" TargetMode="External"/><Relationship Id="rId76" Type="http://schemas.openxmlformats.org/officeDocument/2006/relationships/hyperlink" Target="http://10.56.56.222/polarion/" TargetMode="External"/><Relationship Id="rId7" Type="http://schemas.openxmlformats.org/officeDocument/2006/relationships/hyperlink" Target="http://10.56.56.222/polarion/" TargetMode="External"/><Relationship Id="rId71" Type="http://schemas.openxmlformats.org/officeDocument/2006/relationships/hyperlink" Target="http://10.56.56.222/polarion/" TargetMode="External"/><Relationship Id="rId92" Type="http://schemas.openxmlformats.org/officeDocument/2006/relationships/hyperlink" Target="http://10.56.56.222/polarion/"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24" Type="http://schemas.openxmlformats.org/officeDocument/2006/relationships/hyperlink" Target="http://10.56.56.222/polarion/" TargetMode="External"/><Relationship Id="rId40" Type="http://schemas.openxmlformats.org/officeDocument/2006/relationships/hyperlink" Target="http://10.56.56.222/polarion/" TargetMode="External"/><Relationship Id="rId45" Type="http://schemas.openxmlformats.org/officeDocument/2006/relationships/hyperlink" Target="http://10.56.56.222/polarion/" TargetMode="External"/><Relationship Id="rId66" Type="http://schemas.openxmlformats.org/officeDocument/2006/relationships/hyperlink" Target="http://10.56.56.222/polarion/" TargetMode="External"/><Relationship Id="rId87" Type="http://schemas.openxmlformats.org/officeDocument/2006/relationships/hyperlink" Target="http://10.56.56.222/polarion/" TargetMode="External"/><Relationship Id="rId61" Type="http://schemas.openxmlformats.org/officeDocument/2006/relationships/hyperlink" Target="http://10.56.56.222/polarion/" TargetMode="External"/><Relationship Id="rId82" Type="http://schemas.openxmlformats.org/officeDocument/2006/relationships/hyperlink" Target="http://10.56.56.222/polarion/" TargetMode="External"/><Relationship Id="rId19" Type="http://schemas.openxmlformats.org/officeDocument/2006/relationships/hyperlink" Target="http://10.56.56.222/polarion/" TargetMode="External"/><Relationship Id="rId14" Type="http://schemas.openxmlformats.org/officeDocument/2006/relationships/hyperlink" Target="http://10.56.56.222/polarion/" TargetMode="External"/><Relationship Id="rId30" Type="http://schemas.openxmlformats.org/officeDocument/2006/relationships/hyperlink" Target="http://10.56.56.222/polarion/" TargetMode="External"/><Relationship Id="rId35" Type="http://schemas.openxmlformats.org/officeDocument/2006/relationships/hyperlink" Target="http://10.56.56.222/polarion/" TargetMode="External"/><Relationship Id="rId56" Type="http://schemas.openxmlformats.org/officeDocument/2006/relationships/hyperlink" Target="http://10.56.56.222/polarion/" TargetMode="External"/><Relationship Id="rId77" Type="http://schemas.openxmlformats.org/officeDocument/2006/relationships/hyperlink" Target="http://10.56.56.222/polario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defaultColWidth="9" defaultRowHeight="15"/>
  <cols>
    <col min="1" max="1" width="9" style="3"/>
    <col min="2" max="2" width="14.109375" style="3" customWidth="1"/>
    <col min="3" max="3" width="12.109375" style="3" customWidth="1"/>
    <col min="4" max="6" width="9" style="3"/>
    <col min="7" max="7" width="13" style="3" customWidth="1"/>
    <col min="8" max="16384" width="9" style="3"/>
  </cols>
  <sheetData>
    <row r="1" spans="1:10">
      <c r="A1" s="1"/>
      <c r="B1" s="2"/>
      <c r="C1" s="110" t="s">
        <v>10</v>
      </c>
      <c r="D1" s="111"/>
      <c r="E1" s="111"/>
      <c r="F1" s="111"/>
      <c r="G1" s="111"/>
      <c r="H1" s="111"/>
      <c r="I1" s="111"/>
      <c r="J1" s="112"/>
    </row>
    <row r="2" spans="1:10">
      <c r="A2" s="4"/>
      <c r="C2" s="113"/>
      <c r="D2" s="113"/>
      <c r="E2" s="113"/>
      <c r="F2" s="113"/>
      <c r="G2" s="113"/>
      <c r="H2" s="113"/>
      <c r="I2" s="113"/>
      <c r="J2" s="114"/>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2">
      <c r="A7" s="5"/>
      <c r="B7" s="6"/>
      <c r="C7" s="8" t="s">
        <v>1</v>
      </c>
      <c r="D7" s="16" t="s">
        <v>12</v>
      </c>
      <c r="E7" s="6"/>
      <c r="F7" s="10" t="s">
        <v>2</v>
      </c>
      <c r="G7" s="18">
        <v>44172</v>
      </c>
      <c r="H7" s="11"/>
      <c r="I7" s="6"/>
      <c r="J7" s="7"/>
    </row>
    <row r="8" spans="1:10">
      <c r="A8" s="5"/>
      <c r="B8" s="6"/>
      <c r="C8" s="9"/>
      <c r="D8" s="16"/>
      <c r="E8" s="6"/>
      <c r="F8" s="9"/>
      <c r="G8" s="19"/>
      <c r="H8" s="6"/>
      <c r="I8" s="6"/>
      <c r="J8" s="7"/>
    </row>
    <row r="9" spans="1:10" ht="16.2">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2">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6"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defaultColWidth="9" defaultRowHeight="15"/>
  <cols>
    <col min="1" max="1" width="9" style="3"/>
    <col min="2" max="2" width="14.109375" style="3" customWidth="1"/>
    <col min="3" max="9" width="9" style="3"/>
    <col min="10" max="10" width="25.44140625" style="3" customWidth="1"/>
    <col min="11" max="16384" width="9" style="3"/>
  </cols>
  <sheetData>
    <row r="1" spans="1:10">
      <c r="A1" s="1"/>
      <c r="B1" s="2"/>
      <c r="C1" s="110" t="s">
        <v>11</v>
      </c>
      <c r="D1" s="111"/>
      <c r="E1" s="111"/>
      <c r="F1" s="111"/>
      <c r="G1" s="111"/>
      <c r="H1" s="111"/>
      <c r="I1" s="111"/>
      <c r="J1" s="112"/>
    </row>
    <row r="2" spans="1:10">
      <c r="A2" s="4"/>
      <c r="C2" s="113"/>
      <c r="D2" s="113"/>
      <c r="E2" s="113"/>
      <c r="F2" s="113"/>
      <c r="G2" s="113"/>
      <c r="H2" s="113"/>
      <c r="I2" s="113"/>
      <c r="J2" s="114"/>
    </row>
    <row r="3" spans="1:10" ht="15.6">
      <c r="A3" s="126" t="s">
        <v>5</v>
      </c>
      <c r="B3" s="127"/>
      <c r="C3" s="127" t="s">
        <v>6</v>
      </c>
      <c r="D3" s="127"/>
      <c r="E3" s="127" t="s">
        <v>7</v>
      </c>
      <c r="F3" s="127"/>
      <c r="G3" s="127" t="s">
        <v>8</v>
      </c>
      <c r="H3" s="127"/>
      <c r="I3" s="127" t="s">
        <v>9</v>
      </c>
      <c r="J3" s="128"/>
    </row>
    <row r="4" spans="1:10">
      <c r="A4" s="121">
        <v>1</v>
      </c>
      <c r="B4" s="122"/>
      <c r="C4" s="123" t="s">
        <v>13</v>
      </c>
      <c r="D4" s="123"/>
      <c r="E4" s="124">
        <v>44265</v>
      </c>
      <c r="F4" s="124"/>
      <c r="G4" s="123" t="s">
        <v>14</v>
      </c>
      <c r="H4" s="123"/>
      <c r="I4" s="123" t="s">
        <v>15</v>
      </c>
      <c r="J4" s="125"/>
    </row>
    <row r="5" spans="1:10">
      <c r="A5" s="115"/>
      <c r="B5" s="116"/>
      <c r="C5" s="116"/>
      <c r="D5" s="116"/>
      <c r="E5" s="116"/>
      <c r="F5" s="116"/>
      <c r="G5" s="116"/>
      <c r="H5" s="116"/>
      <c r="I5" s="116"/>
      <c r="J5" s="117"/>
    </row>
    <row r="6" spans="1:10">
      <c r="A6" s="115"/>
      <c r="B6" s="116"/>
      <c r="C6" s="116"/>
      <c r="D6" s="116"/>
      <c r="E6" s="116"/>
      <c r="F6" s="116"/>
      <c r="G6" s="116"/>
      <c r="H6" s="116"/>
      <c r="I6" s="116"/>
      <c r="J6" s="117"/>
    </row>
    <row r="7" spans="1:10">
      <c r="A7" s="115"/>
      <c r="B7" s="116"/>
      <c r="C7" s="116"/>
      <c r="D7" s="116"/>
      <c r="E7" s="116"/>
      <c r="F7" s="116"/>
      <c r="G7" s="116"/>
      <c r="H7" s="116"/>
      <c r="I7" s="116"/>
      <c r="J7" s="117"/>
    </row>
    <row r="8" spans="1:10">
      <c r="A8" s="115"/>
      <c r="B8" s="116"/>
      <c r="C8" s="116"/>
      <c r="D8" s="116"/>
      <c r="E8" s="116"/>
      <c r="F8" s="116"/>
      <c r="G8" s="116"/>
      <c r="H8" s="116"/>
      <c r="I8" s="116"/>
      <c r="J8" s="117"/>
    </row>
    <row r="9" spans="1:10">
      <c r="A9" s="115"/>
      <c r="B9" s="116"/>
      <c r="C9" s="116"/>
      <c r="D9" s="116"/>
      <c r="E9" s="116"/>
      <c r="F9" s="116"/>
      <c r="G9" s="116"/>
      <c r="H9" s="116"/>
      <c r="I9" s="116"/>
      <c r="J9" s="117"/>
    </row>
    <row r="10" spans="1:10">
      <c r="A10" s="115"/>
      <c r="B10" s="116"/>
      <c r="C10" s="116"/>
      <c r="D10" s="116"/>
      <c r="E10" s="116"/>
      <c r="F10" s="116"/>
      <c r="G10" s="116"/>
      <c r="H10" s="116"/>
      <c r="I10" s="116"/>
      <c r="J10" s="117"/>
    </row>
    <row r="11" spans="1:10" ht="15.6" thickBot="1">
      <c r="A11" s="118"/>
      <c r="B11" s="119"/>
      <c r="C11" s="119"/>
      <c r="D11" s="119"/>
      <c r="E11" s="119"/>
      <c r="F11" s="119"/>
      <c r="G11" s="119"/>
      <c r="H11" s="119"/>
      <c r="I11" s="119"/>
      <c r="J11" s="120"/>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Normal="100" workbookViewId="0">
      <selection activeCell="A3" sqref="A3"/>
    </sheetView>
  </sheetViews>
  <sheetFormatPr defaultColWidth="8.77734375" defaultRowHeight="15.6"/>
  <cols>
    <col min="1" max="2" width="8.77734375" style="55"/>
    <col min="3" max="3" width="22.33203125" style="55" customWidth="1"/>
    <col min="4" max="4" width="7.77734375" style="55" customWidth="1"/>
    <col min="5" max="5" width="7.109375" style="55" customWidth="1"/>
    <col min="6" max="6" width="8" style="55" customWidth="1"/>
    <col min="7" max="7" width="9.77734375" style="55" customWidth="1"/>
    <col min="8" max="8" width="13.109375" style="55" customWidth="1"/>
    <col min="9" max="16384" width="8.77734375" style="42"/>
  </cols>
  <sheetData>
    <row r="3" spans="1:8" ht="16.2" thickBot="1"/>
    <row r="4" spans="1:8">
      <c r="C4" s="143" t="s">
        <v>124</v>
      </c>
      <c r="D4" s="144"/>
      <c r="E4" s="144"/>
      <c r="F4" s="144"/>
      <c r="G4" s="144"/>
      <c r="H4" s="145"/>
    </row>
    <row r="5" spans="1:8">
      <c r="C5" s="146"/>
      <c r="D5" s="147"/>
      <c r="E5" s="147"/>
      <c r="F5" s="147"/>
      <c r="G5" s="147"/>
      <c r="H5" s="148"/>
    </row>
    <row r="6" spans="1:8" ht="16.2">
      <c r="C6" s="58" t="s">
        <v>80</v>
      </c>
      <c r="D6" s="149" t="s">
        <v>141</v>
      </c>
      <c r="E6" s="150"/>
      <c r="F6" s="151"/>
      <c r="G6" s="152" t="s">
        <v>81</v>
      </c>
      <c r="H6" s="153"/>
    </row>
    <row r="7" spans="1:8" ht="16.2" customHeight="1">
      <c r="A7" s="59"/>
      <c r="B7" s="59"/>
      <c r="C7" s="60" t="s">
        <v>82</v>
      </c>
      <c r="D7" s="154" t="s">
        <v>85</v>
      </c>
      <c r="E7" s="155"/>
      <c r="F7" s="156"/>
      <c r="G7" s="157">
        <v>46002</v>
      </c>
      <c r="H7" s="158"/>
    </row>
    <row r="8" spans="1:8" ht="16.2" customHeight="1">
      <c r="A8" s="59"/>
      <c r="B8" s="59"/>
      <c r="C8" s="60" t="s">
        <v>83</v>
      </c>
      <c r="D8" s="154" t="s">
        <v>86</v>
      </c>
      <c r="E8" s="155"/>
      <c r="F8" s="156"/>
      <c r="G8" s="157">
        <v>46000</v>
      </c>
      <c r="H8" s="158"/>
    </row>
    <row r="9" spans="1:8" ht="16.95" customHeight="1" thickBot="1">
      <c r="A9" s="59"/>
      <c r="B9" s="59"/>
      <c r="C9" s="61" t="s">
        <v>84</v>
      </c>
      <c r="D9" s="129" t="s">
        <v>87</v>
      </c>
      <c r="E9" s="130"/>
      <c r="F9" s="131"/>
      <c r="G9" s="132">
        <v>45999</v>
      </c>
      <c r="H9" s="133"/>
    </row>
    <row r="11" spans="1:8" ht="16.2" thickBot="1"/>
    <row r="12" spans="1:8" ht="16.2" thickTop="1">
      <c r="C12" s="134" t="s">
        <v>125</v>
      </c>
      <c r="D12" s="135"/>
      <c r="E12" s="135"/>
      <c r="F12" s="135"/>
      <c r="G12" s="135"/>
      <c r="H12" s="136"/>
    </row>
    <row r="13" spans="1:8">
      <c r="C13" s="137"/>
      <c r="D13" s="138"/>
      <c r="E13" s="138"/>
      <c r="F13" s="138"/>
      <c r="G13" s="138"/>
      <c r="H13" s="139"/>
    </row>
    <row r="14" spans="1:8">
      <c r="C14" s="137"/>
      <c r="D14" s="138"/>
      <c r="E14" s="138"/>
      <c r="F14" s="138"/>
      <c r="G14" s="138"/>
      <c r="H14" s="139"/>
    </row>
    <row r="15" spans="1:8">
      <c r="C15" s="137"/>
      <c r="D15" s="138"/>
      <c r="E15" s="138"/>
      <c r="F15" s="138"/>
      <c r="G15" s="138"/>
      <c r="H15" s="139"/>
    </row>
    <row r="16" spans="1:8">
      <c r="C16" s="137"/>
      <c r="D16" s="138"/>
      <c r="E16" s="138"/>
      <c r="F16" s="138"/>
      <c r="G16" s="138"/>
      <c r="H16" s="139"/>
    </row>
    <row r="17" spans="3:8">
      <c r="C17" s="137"/>
      <c r="D17" s="138"/>
      <c r="E17" s="138"/>
      <c r="F17" s="138"/>
      <c r="G17" s="138"/>
      <c r="H17" s="139"/>
    </row>
    <row r="18" spans="3:8">
      <c r="C18" s="137"/>
      <c r="D18" s="138"/>
      <c r="E18" s="138"/>
      <c r="F18" s="138"/>
      <c r="G18" s="138"/>
      <c r="H18" s="139"/>
    </row>
    <row r="19" spans="3:8">
      <c r="C19" s="137"/>
      <c r="D19" s="138"/>
      <c r="E19" s="138"/>
      <c r="F19" s="138"/>
      <c r="G19" s="138"/>
      <c r="H19" s="139"/>
    </row>
    <row r="20" spans="3:8">
      <c r="C20" s="137"/>
      <c r="D20" s="138"/>
      <c r="E20" s="138"/>
      <c r="F20" s="138"/>
      <c r="G20" s="138"/>
      <c r="H20" s="139"/>
    </row>
    <row r="21" spans="3:8">
      <c r="C21" s="137"/>
      <c r="D21" s="138"/>
      <c r="E21" s="138"/>
      <c r="F21" s="138"/>
      <c r="G21" s="138"/>
      <c r="H21" s="139"/>
    </row>
    <row r="22" spans="3:8">
      <c r="C22" s="137"/>
      <c r="D22" s="138"/>
      <c r="E22" s="138"/>
      <c r="F22" s="138"/>
      <c r="G22" s="138"/>
      <c r="H22" s="139"/>
    </row>
    <row r="23" spans="3:8">
      <c r="C23" s="137"/>
      <c r="D23" s="138"/>
      <c r="E23" s="138"/>
      <c r="F23" s="138"/>
      <c r="G23" s="138"/>
      <c r="H23" s="139"/>
    </row>
    <row r="24" spans="3:8">
      <c r="C24" s="137"/>
      <c r="D24" s="138"/>
      <c r="E24" s="138"/>
      <c r="F24" s="138"/>
      <c r="G24" s="138"/>
      <c r="H24" s="139"/>
    </row>
    <row r="25" spans="3:8">
      <c r="C25" s="137"/>
      <c r="D25" s="138"/>
      <c r="E25" s="138"/>
      <c r="F25" s="138"/>
      <c r="G25" s="138"/>
      <c r="H25" s="139"/>
    </row>
    <row r="26" spans="3:8">
      <c r="C26" s="137"/>
      <c r="D26" s="138"/>
      <c r="E26" s="138"/>
      <c r="F26" s="138"/>
      <c r="G26" s="138"/>
      <c r="H26" s="139"/>
    </row>
    <row r="27" spans="3:8">
      <c r="C27" s="137"/>
      <c r="D27" s="138"/>
      <c r="E27" s="138"/>
      <c r="F27" s="138"/>
      <c r="G27" s="138"/>
      <c r="H27" s="139"/>
    </row>
    <row r="28" spans="3:8">
      <c r="C28" s="137"/>
      <c r="D28" s="138"/>
      <c r="E28" s="138"/>
      <c r="F28" s="138"/>
      <c r="G28" s="138"/>
      <c r="H28" s="139"/>
    </row>
    <row r="29" spans="3:8" ht="16.2" thickBot="1">
      <c r="C29" s="140"/>
      <c r="D29" s="141"/>
      <c r="E29" s="141"/>
      <c r="F29" s="141"/>
      <c r="G29" s="141"/>
      <c r="H29" s="142"/>
    </row>
    <row r="30" spans="3:8" ht="16.2" thickTop="1">
      <c r="H30" s="57"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4" zoomScaleNormal="100" workbookViewId="0">
      <selection activeCell="A4" sqref="A4"/>
    </sheetView>
  </sheetViews>
  <sheetFormatPr defaultColWidth="8.77734375" defaultRowHeight="15.6"/>
  <cols>
    <col min="1" max="1" width="11.44140625" style="55" customWidth="1"/>
    <col min="2" max="2" width="68.109375" style="55" customWidth="1"/>
    <col min="3" max="3" width="17.77734375" style="55" customWidth="1"/>
    <col min="4" max="4" width="12.77734375" style="56" customWidth="1"/>
    <col min="5" max="5" width="17.44140625" style="55" customWidth="1"/>
    <col min="6" max="16384" width="8.77734375" style="42"/>
  </cols>
  <sheetData>
    <row r="1" spans="1:5">
      <c r="A1" s="159" t="s">
        <v>72</v>
      </c>
      <c r="B1" s="160"/>
      <c r="C1" s="160"/>
      <c r="D1" s="160"/>
      <c r="E1" s="161"/>
    </row>
    <row r="2" spans="1:5">
      <c r="A2" s="162"/>
      <c r="B2" s="163"/>
      <c r="C2" s="163"/>
      <c r="D2" s="163"/>
      <c r="E2" s="164"/>
    </row>
    <row r="3" spans="1:5" ht="16.2" thickBot="1">
      <c r="A3" s="165"/>
      <c r="B3" s="166"/>
      <c r="C3" s="166"/>
      <c r="D3" s="166"/>
      <c r="E3" s="167"/>
    </row>
    <row r="4" spans="1:5" ht="16.2">
      <c r="A4" s="43" t="s">
        <v>73</v>
      </c>
      <c r="B4" s="44" t="s">
        <v>74</v>
      </c>
      <c r="C4" s="44" t="s">
        <v>75</v>
      </c>
      <c r="D4" s="45" t="s">
        <v>76</v>
      </c>
      <c r="E4" s="46" t="s">
        <v>77</v>
      </c>
    </row>
    <row r="5" spans="1:5" ht="409.6">
      <c r="A5" s="33" t="s">
        <v>17</v>
      </c>
      <c r="B5" s="41" t="s">
        <v>78</v>
      </c>
      <c r="C5" s="36" t="s">
        <v>139</v>
      </c>
      <c r="D5" s="34">
        <v>45950</v>
      </c>
      <c r="E5" s="96" t="s">
        <v>79</v>
      </c>
    </row>
    <row r="6" spans="1:5" ht="100.2">
      <c r="A6" s="35" t="s">
        <v>126</v>
      </c>
      <c r="B6" s="94" t="s">
        <v>127</v>
      </c>
      <c r="C6" s="36" t="s">
        <v>139</v>
      </c>
      <c r="D6" s="34">
        <v>45999</v>
      </c>
      <c r="E6" s="96" t="s">
        <v>140</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6.2" thickBot="1">
      <c r="A15" s="52"/>
      <c r="B15" s="52"/>
      <c r="C15" s="52"/>
      <c r="D15" s="53"/>
      <c r="E15" s="54"/>
    </row>
    <row r="16" spans="1:5">
      <c r="E16" s="57" t="s">
        <v>88</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Normal="100" workbookViewId="0">
      <selection activeCell="A2" sqref="A2"/>
    </sheetView>
  </sheetViews>
  <sheetFormatPr defaultColWidth="8.77734375" defaultRowHeight="15.6"/>
  <cols>
    <col min="1" max="1" width="18.44140625" style="83" customWidth="1"/>
    <col min="2" max="2" width="44" style="83" customWidth="1"/>
    <col min="3" max="3" width="18.6640625" style="83" customWidth="1"/>
    <col min="4" max="4" width="17" style="83" customWidth="1"/>
    <col min="5" max="16384" width="8.77734375" style="83"/>
  </cols>
  <sheetData>
    <row r="1" spans="1:8" ht="37.950000000000003" customHeight="1">
      <c r="A1" s="169" t="s">
        <v>112</v>
      </c>
      <c r="B1" s="169"/>
      <c r="C1" s="169"/>
      <c r="D1" s="169"/>
      <c r="E1" s="169"/>
      <c r="F1" s="169"/>
      <c r="G1" s="169"/>
      <c r="H1" s="169"/>
    </row>
    <row r="2" spans="1:8" ht="18">
      <c r="B2" s="84"/>
      <c r="C2" s="84"/>
      <c r="D2" s="85" t="s">
        <v>111</v>
      </c>
      <c r="E2" s="86"/>
      <c r="F2" s="86"/>
      <c r="G2" s="86"/>
      <c r="H2" s="86"/>
    </row>
    <row r="3" spans="1:8" ht="31.8">
      <c r="A3" s="87" t="s">
        <v>113</v>
      </c>
      <c r="B3" s="170" t="s">
        <v>436</v>
      </c>
      <c r="C3" s="171"/>
      <c r="D3" s="172"/>
      <c r="E3" s="88"/>
      <c r="F3" s="88"/>
      <c r="G3" s="88"/>
      <c r="H3" s="88"/>
    </row>
    <row r="4" spans="1:8" ht="31.8">
      <c r="A4" s="87" t="s">
        <v>114</v>
      </c>
      <c r="B4" s="173" t="s">
        <v>437</v>
      </c>
      <c r="C4" s="173"/>
      <c r="D4" s="173"/>
    </row>
    <row r="5" spans="1:8" ht="31.8">
      <c r="A5" s="87" t="s">
        <v>115</v>
      </c>
      <c r="B5" s="174" t="s">
        <v>438</v>
      </c>
      <c r="C5" s="175"/>
      <c r="D5" s="176"/>
    </row>
    <row r="6" spans="1:8" ht="31.8">
      <c r="A6" s="87" t="s">
        <v>116</v>
      </c>
      <c r="B6" s="174" t="s">
        <v>439</v>
      </c>
      <c r="C6" s="175"/>
      <c r="D6" s="176"/>
    </row>
    <row r="7" spans="1:8" ht="31.8">
      <c r="A7" s="87" t="s">
        <v>117</v>
      </c>
      <c r="B7" s="168" t="s">
        <v>440</v>
      </c>
      <c r="C7" s="168"/>
      <c r="D7" s="168"/>
    </row>
    <row r="8" spans="1:8" ht="31.8">
      <c r="A8" s="87" t="s">
        <v>118</v>
      </c>
      <c r="B8" s="168" t="s">
        <v>441</v>
      </c>
      <c r="C8" s="168"/>
      <c r="D8" s="168"/>
    </row>
    <row r="11" spans="1:8" ht="38.549999999999997" customHeight="1">
      <c r="A11" s="169" t="s">
        <v>119</v>
      </c>
      <c r="B11" s="169"/>
      <c r="C11" s="169"/>
      <c r="D11" s="169"/>
    </row>
    <row r="12" spans="1:8" ht="16.95" customHeight="1">
      <c r="A12" s="93" t="s">
        <v>120</v>
      </c>
      <c r="B12" s="89" t="s">
        <v>121</v>
      </c>
      <c r="C12" s="90" t="s">
        <v>122</v>
      </c>
      <c r="D12" s="90" t="s">
        <v>123</v>
      </c>
    </row>
    <row r="13" spans="1:8">
      <c r="A13" s="106" t="s">
        <v>438</v>
      </c>
      <c r="B13" s="106" t="s">
        <v>442</v>
      </c>
      <c r="C13" s="106" t="s">
        <v>443</v>
      </c>
      <c r="D13" s="107">
        <v>46027</v>
      </c>
    </row>
    <row r="14" spans="1:8">
      <c r="A14" s="87"/>
      <c r="B14" s="90"/>
      <c r="C14" s="90"/>
      <c r="D14" s="90"/>
    </row>
    <row r="15" spans="1:8">
      <c r="A15" s="87"/>
      <c r="B15" s="91"/>
      <c r="C15" s="92"/>
      <c r="D15" s="90"/>
    </row>
    <row r="16" spans="1:8">
      <c r="A16" s="87"/>
      <c r="B16" s="91"/>
      <c r="C16" s="92"/>
      <c r="D16" s="90"/>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A64C99D6-863B-447C-9BA4-EDAA4758B627}">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104"/>
  <sheetViews>
    <sheetView showGridLines="0" tabSelected="1" topLeftCell="F67" zoomScale="70" zoomScaleNormal="70" workbookViewId="0">
      <selection activeCell="I79" sqref="I79"/>
    </sheetView>
  </sheetViews>
  <sheetFormatPr defaultColWidth="9" defaultRowHeight="13.2" outlineLevelCol="1"/>
  <cols>
    <col min="1" max="1" width="2.77734375" style="73" customWidth="1"/>
    <col min="2" max="2" width="8.77734375" style="73" bestFit="1" customWidth="1"/>
    <col min="3" max="3" width="24.44140625" style="73" bestFit="1" customWidth="1"/>
    <col min="4" max="4" width="29.109375" style="81" customWidth="1"/>
    <col min="5" max="5" width="18.109375" style="73" customWidth="1"/>
    <col min="6" max="6" width="19.77734375" style="81" customWidth="1"/>
    <col min="7" max="7" width="14.44140625" style="74" customWidth="1"/>
    <col min="8" max="8" width="15.77734375" style="73" customWidth="1"/>
    <col min="9" max="9" width="45.33203125" style="73" customWidth="1"/>
    <col min="10" max="10" width="24.44140625" style="73" customWidth="1"/>
    <col min="11" max="11" width="13.77734375" style="73" customWidth="1"/>
    <col min="12" max="12" width="42.33203125" style="73" customWidth="1"/>
    <col min="13" max="13" width="37.44140625" style="73" customWidth="1"/>
    <col min="14" max="15" width="15.44140625" style="73" customWidth="1"/>
    <col min="16" max="16" width="16.6640625" style="73" customWidth="1"/>
    <col min="17" max="17" width="19.109375" style="73" customWidth="1"/>
    <col min="18" max="18" width="14.33203125" style="73" customWidth="1"/>
    <col min="19" max="19" width="12.33203125" style="73" hidden="1" customWidth="1" outlineLevel="1"/>
    <col min="20" max="20" width="10.44140625" style="73" hidden="1" customWidth="1" outlineLevel="1"/>
    <col min="21" max="21" width="19.77734375" style="73" hidden="1" customWidth="1" outlineLevel="1"/>
    <col min="22" max="22" width="15.6640625" style="73" hidden="1" customWidth="1" outlineLevel="1"/>
    <col min="23" max="23" width="14.33203125" style="82" hidden="1" customWidth="1" outlineLevel="1"/>
    <col min="24" max="24" width="14.6640625" style="73" hidden="1" customWidth="1" outlineLevel="1"/>
    <col min="25" max="25" width="11.77734375" style="73" hidden="1" customWidth="1" outlineLevel="1"/>
    <col min="26" max="26" width="13.109375" style="73" customWidth="1" collapsed="1"/>
    <col min="27" max="27" width="9.6640625" style="73" bestFit="1" customWidth="1"/>
    <col min="28" max="28" width="15.33203125" style="73" bestFit="1" customWidth="1"/>
    <col min="29" max="29" width="15.33203125" style="73" customWidth="1"/>
    <col min="30" max="30" width="10.77734375" style="73" bestFit="1" customWidth="1"/>
    <col min="31" max="31" width="14.44140625" style="73" bestFit="1" customWidth="1"/>
    <col min="32" max="32" width="10.77734375" style="73" bestFit="1" customWidth="1"/>
    <col min="33" max="33" width="11.77734375" style="73" bestFit="1" customWidth="1"/>
    <col min="34" max="16384" width="9" style="73"/>
  </cols>
  <sheetData>
    <row r="1" spans="1:33" s="63" customFormat="1" ht="21">
      <c r="A1" s="181" t="s">
        <v>143</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62"/>
      <c r="AF1" s="62"/>
      <c r="AG1" s="62"/>
    </row>
    <row r="2" spans="1:33" s="63" customFormat="1" ht="13.8">
      <c r="B2" s="64"/>
      <c r="C2" s="64" t="s">
        <v>90</v>
      </c>
      <c r="D2" s="104" t="s">
        <v>26</v>
      </c>
      <c r="E2" s="66"/>
      <c r="F2" s="67"/>
      <c r="G2" s="67"/>
      <c r="H2" s="68"/>
      <c r="I2" s="68"/>
    </row>
    <row r="3" spans="1:33" s="63" customFormat="1" ht="13.8">
      <c r="B3" s="64"/>
      <c r="C3" s="64" t="s">
        <v>91</v>
      </c>
      <c r="D3" s="65"/>
      <c r="E3" s="66"/>
      <c r="F3" s="67"/>
      <c r="G3" s="67"/>
      <c r="H3" s="68"/>
      <c r="I3" s="68"/>
      <c r="M3" s="64"/>
      <c r="N3" s="64"/>
      <c r="O3" s="64"/>
      <c r="P3" s="68"/>
      <c r="Q3" s="68"/>
      <c r="R3" s="68"/>
      <c r="S3" s="68"/>
      <c r="T3" s="68"/>
      <c r="U3" s="68"/>
      <c r="V3" s="68"/>
    </row>
    <row r="4" spans="1:33" s="63" customFormat="1" ht="13.8">
      <c r="B4" s="64"/>
      <c r="C4" s="64" t="s">
        <v>92</v>
      </c>
      <c r="D4" s="65"/>
      <c r="E4" s="66"/>
      <c r="F4" s="67"/>
      <c r="G4" s="67"/>
      <c r="H4" s="69"/>
      <c r="I4" s="69"/>
      <c r="J4" s="69"/>
      <c r="K4" s="69"/>
      <c r="L4" s="69"/>
      <c r="M4" s="69"/>
      <c r="N4" s="69"/>
      <c r="O4" s="69"/>
      <c r="P4" s="69"/>
      <c r="Q4" s="69"/>
      <c r="R4" s="69"/>
      <c r="S4" s="69"/>
      <c r="T4" s="69"/>
      <c r="U4" s="69"/>
      <c r="V4" s="69"/>
      <c r="W4" s="69"/>
      <c r="X4" s="69"/>
      <c r="Y4" s="69"/>
    </row>
    <row r="5" spans="1:33" s="63" customFormat="1" ht="13.8">
      <c r="B5" s="70"/>
      <c r="C5" s="70" t="s">
        <v>93</v>
      </c>
      <c r="D5" s="71" t="s">
        <v>144</v>
      </c>
      <c r="E5" s="66"/>
      <c r="F5" s="67"/>
      <c r="G5" s="67"/>
      <c r="H5" s="69"/>
      <c r="I5" s="64" t="s">
        <v>94</v>
      </c>
      <c r="J5" s="103">
        <v>46015</v>
      </c>
      <c r="K5" s="69"/>
      <c r="L5" s="69"/>
      <c r="M5" s="69"/>
      <c r="N5" s="69"/>
      <c r="O5" s="69"/>
      <c r="P5" s="69"/>
      <c r="Q5" s="69"/>
      <c r="R5" s="69"/>
      <c r="S5" s="69"/>
      <c r="T5" s="69"/>
      <c r="U5" s="69"/>
      <c r="V5" s="69"/>
      <c r="W5" s="69"/>
      <c r="X5" s="69"/>
      <c r="Y5" s="69"/>
      <c r="AG5" s="72" t="s">
        <v>89</v>
      </c>
    </row>
    <row r="7" spans="1:33">
      <c r="B7" s="183" t="s">
        <v>95</v>
      </c>
      <c r="C7" s="184"/>
      <c r="D7" s="184"/>
      <c r="E7" s="184"/>
      <c r="F7" s="184"/>
      <c r="G7" s="184"/>
      <c r="H7" s="184"/>
      <c r="I7" s="184"/>
      <c r="J7" s="184"/>
      <c r="K7" s="184"/>
      <c r="L7" s="184"/>
      <c r="M7" s="184"/>
      <c r="N7" s="184"/>
      <c r="O7" s="184"/>
      <c r="P7" s="185"/>
      <c r="Q7" s="184"/>
      <c r="R7" s="184"/>
      <c r="S7" s="184"/>
      <c r="T7" s="184"/>
      <c r="U7" s="184"/>
      <c r="V7" s="184"/>
      <c r="W7" s="184"/>
      <c r="X7" s="184"/>
      <c r="Y7" s="184"/>
      <c r="Z7" s="186"/>
      <c r="AA7" s="178" t="s">
        <v>96</v>
      </c>
      <c r="AB7" s="179"/>
      <c r="AC7" s="179"/>
      <c r="AD7" s="179"/>
      <c r="AE7" s="180"/>
      <c r="AF7" s="180"/>
      <c r="AG7" s="179"/>
    </row>
    <row r="8" spans="1:33" s="74" customFormat="1" ht="26.4">
      <c r="B8" s="75"/>
      <c r="C8" s="76"/>
      <c r="D8" s="76"/>
      <c r="E8" s="76"/>
      <c r="F8" s="76"/>
      <c r="G8" s="76"/>
      <c r="H8" s="76"/>
      <c r="I8" s="76"/>
      <c r="J8" s="76" t="s">
        <v>27</v>
      </c>
      <c r="K8" s="76" t="s">
        <v>27</v>
      </c>
      <c r="L8" s="76"/>
      <c r="M8" s="76"/>
      <c r="N8" s="76"/>
      <c r="O8" s="77"/>
      <c r="P8" s="78"/>
      <c r="Q8" s="76"/>
      <c r="R8" s="76"/>
      <c r="S8" s="177" t="s">
        <v>133</v>
      </c>
      <c r="T8" s="177"/>
      <c r="U8" s="177"/>
      <c r="V8" s="177"/>
      <c r="W8" s="177"/>
      <c r="X8" s="177"/>
      <c r="Y8" s="177"/>
      <c r="Z8" s="76" t="s">
        <v>27</v>
      </c>
      <c r="AA8" s="76"/>
      <c r="AB8" s="76"/>
      <c r="AC8" s="76"/>
      <c r="AD8" s="76"/>
      <c r="AE8" s="78"/>
      <c r="AF8" s="78"/>
      <c r="AG8" s="76"/>
    </row>
    <row r="9" spans="1:33" s="79" customFormat="1" ht="53.4">
      <c r="B9" s="95" t="s">
        <v>129</v>
      </c>
      <c r="C9" s="78" t="s">
        <v>128</v>
      </c>
      <c r="D9" s="78" t="s">
        <v>97</v>
      </c>
      <c r="E9" s="78" t="s">
        <v>130</v>
      </c>
      <c r="F9" s="78" t="s">
        <v>98</v>
      </c>
      <c r="G9" s="78" t="s">
        <v>99</v>
      </c>
      <c r="H9" s="78" t="s">
        <v>100</v>
      </c>
      <c r="I9" s="78" t="s">
        <v>101</v>
      </c>
      <c r="J9" s="78" t="s">
        <v>102</v>
      </c>
      <c r="K9" s="78" t="s">
        <v>103</v>
      </c>
      <c r="L9" s="78" t="s">
        <v>104</v>
      </c>
      <c r="M9" s="78" t="s">
        <v>105</v>
      </c>
      <c r="N9" s="78" t="s">
        <v>131</v>
      </c>
      <c r="O9" s="97" t="s">
        <v>142</v>
      </c>
      <c r="P9" s="78" t="s">
        <v>132</v>
      </c>
      <c r="Q9" s="78" t="s">
        <v>106</v>
      </c>
      <c r="R9" s="78" t="s">
        <v>107</v>
      </c>
      <c r="S9" s="76" t="s">
        <v>19</v>
      </c>
      <c r="T9" s="76" t="s">
        <v>20</v>
      </c>
      <c r="U9" s="76" t="s">
        <v>21</v>
      </c>
      <c r="V9" s="76" t="s">
        <v>22</v>
      </c>
      <c r="W9" s="76" t="s">
        <v>23</v>
      </c>
      <c r="X9" s="76" t="s">
        <v>24</v>
      </c>
      <c r="Y9" s="76" t="s">
        <v>25</v>
      </c>
      <c r="Z9" s="78" t="s">
        <v>108</v>
      </c>
      <c r="AA9" s="78" t="s">
        <v>134</v>
      </c>
      <c r="AB9" s="78" t="s">
        <v>135</v>
      </c>
      <c r="AC9" s="78" t="s">
        <v>136</v>
      </c>
      <c r="AD9" s="78" t="s">
        <v>137</v>
      </c>
      <c r="AE9" s="78" t="s">
        <v>109</v>
      </c>
      <c r="AF9" s="78" t="s">
        <v>138</v>
      </c>
      <c r="AG9" s="78" t="s">
        <v>110</v>
      </c>
    </row>
    <row r="10" spans="1:33" ht="105.6">
      <c r="A10" s="80"/>
      <c r="B10" s="99">
        <f t="shared" ref="B10:B53" si="0">IF(ISBLANK($D10),"",ROW()-9)</f>
        <v>1</v>
      </c>
      <c r="C10" s="108" t="s">
        <v>444</v>
      </c>
      <c r="D10" s="99" t="s">
        <v>145</v>
      </c>
      <c r="E10" s="99"/>
      <c r="F10" s="99" t="s">
        <v>239</v>
      </c>
      <c r="G10" s="99" t="s">
        <v>213</v>
      </c>
      <c r="H10" s="99" t="s">
        <v>445</v>
      </c>
      <c r="I10" s="100" t="s">
        <v>446</v>
      </c>
      <c r="J10" s="100" t="s">
        <v>447</v>
      </c>
      <c r="K10" s="99" t="s">
        <v>448</v>
      </c>
      <c r="L10" s="100" t="s">
        <v>449</v>
      </c>
      <c r="M10" s="100" t="s">
        <v>450</v>
      </c>
      <c r="N10" s="99" t="s">
        <v>214</v>
      </c>
      <c r="O10" s="99" t="s">
        <v>451</v>
      </c>
      <c r="P10" s="99"/>
      <c r="Q10" s="99"/>
      <c r="R10" s="99"/>
      <c r="S10" s="99">
        <v>1</v>
      </c>
      <c r="T10" s="99">
        <v>1</v>
      </c>
      <c r="U10" s="99">
        <v>1</v>
      </c>
      <c r="V10" s="99">
        <v>1</v>
      </c>
      <c r="W10" s="99">
        <v>1</v>
      </c>
      <c r="X10" s="99">
        <v>1</v>
      </c>
      <c r="Y10" s="99">
        <v>1</v>
      </c>
      <c r="Z10" s="99" t="s">
        <v>598</v>
      </c>
      <c r="AA10" s="99"/>
      <c r="AB10" s="99"/>
      <c r="AC10" s="99"/>
      <c r="AD10" s="99"/>
      <c r="AE10" s="99"/>
      <c r="AF10" s="99"/>
      <c r="AG10" s="109"/>
    </row>
    <row r="11" spans="1:33" ht="132">
      <c r="A11" s="80"/>
      <c r="B11" s="99">
        <f t="shared" si="0"/>
        <v>2</v>
      </c>
      <c r="C11" s="108" t="s">
        <v>444</v>
      </c>
      <c r="D11" s="99" t="s">
        <v>145</v>
      </c>
      <c r="E11" s="99"/>
      <c r="F11" s="99" t="s">
        <v>452</v>
      </c>
      <c r="G11" s="99" t="s">
        <v>213</v>
      </c>
      <c r="H11" s="99" t="s">
        <v>445</v>
      </c>
      <c r="I11" s="100" t="s">
        <v>190</v>
      </c>
      <c r="J11" s="100" t="s">
        <v>453</v>
      </c>
      <c r="K11" s="99" t="s">
        <v>448</v>
      </c>
      <c r="L11" s="100" t="s">
        <v>454</v>
      </c>
      <c r="M11" s="100" t="s">
        <v>455</v>
      </c>
      <c r="N11" s="99" t="s">
        <v>214</v>
      </c>
      <c r="O11" s="99" t="s">
        <v>288</v>
      </c>
      <c r="P11" s="99"/>
      <c r="Q11" s="99"/>
      <c r="R11" s="99"/>
      <c r="S11" s="99">
        <v>1</v>
      </c>
      <c r="T11" s="99">
        <v>1</v>
      </c>
      <c r="U11" s="99">
        <v>1</v>
      </c>
      <c r="V11" s="99">
        <v>1</v>
      </c>
      <c r="W11" s="99">
        <v>1</v>
      </c>
      <c r="X11" s="99">
        <v>1</v>
      </c>
      <c r="Y11" s="99">
        <v>1</v>
      </c>
      <c r="Z11" s="99" t="s">
        <v>598</v>
      </c>
      <c r="AA11" s="99"/>
      <c r="AB11" s="99"/>
      <c r="AC11" s="99"/>
      <c r="AD11" s="99"/>
      <c r="AE11" s="99"/>
      <c r="AF11" s="99"/>
      <c r="AG11" s="109"/>
    </row>
    <row r="12" spans="1:33" ht="132">
      <c r="A12" s="80"/>
      <c r="B12" s="99">
        <f t="shared" si="0"/>
        <v>3</v>
      </c>
      <c r="C12" s="108" t="s">
        <v>444</v>
      </c>
      <c r="D12" s="99" t="s">
        <v>145</v>
      </c>
      <c r="E12" s="99"/>
      <c r="F12" s="99" t="s">
        <v>249</v>
      </c>
      <c r="G12" s="99" t="s">
        <v>213</v>
      </c>
      <c r="H12" s="99" t="s">
        <v>456</v>
      </c>
      <c r="I12" s="100" t="s">
        <v>190</v>
      </c>
      <c r="J12" s="100" t="s">
        <v>453</v>
      </c>
      <c r="K12" s="99" t="s">
        <v>448</v>
      </c>
      <c r="L12" s="100" t="s">
        <v>457</v>
      </c>
      <c r="M12" s="100" t="s">
        <v>458</v>
      </c>
      <c r="N12" s="99" t="s">
        <v>214</v>
      </c>
      <c r="O12" s="99" t="s">
        <v>288</v>
      </c>
      <c r="P12" s="99"/>
      <c r="Q12" s="99"/>
      <c r="R12" s="99"/>
      <c r="S12" s="99">
        <v>1</v>
      </c>
      <c r="T12" s="99">
        <v>1</v>
      </c>
      <c r="U12" s="99">
        <v>1</v>
      </c>
      <c r="V12" s="99">
        <v>1</v>
      </c>
      <c r="W12" s="99">
        <v>1</v>
      </c>
      <c r="X12" s="99">
        <v>1</v>
      </c>
      <c r="Y12" s="99">
        <v>1</v>
      </c>
      <c r="Z12" s="99" t="s">
        <v>598</v>
      </c>
      <c r="AA12" s="99"/>
      <c r="AB12" s="99"/>
      <c r="AC12" s="99"/>
      <c r="AD12" s="99"/>
      <c r="AE12" s="99"/>
      <c r="AF12" s="99"/>
      <c r="AG12" s="109"/>
    </row>
    <row r="13" spans="1:33" ht="132">
      <c r="A13" s="80"/>
      <c r="B13" s="99">
        <f t="shared" si="0"/>
        <v>4</v>
      </c>
      <c r="C13" s="108" t="s">
        <v>444</v>
      </c>
      <c r="D13" s="99" t="s">
        <v>145</v>
      </c>
      <c r="E13" s="99"/>
      <c r="F13" s="99" t="s">
        <v>250</v>
      </c>
      <c r="G13" s="99" t="s">
        <v>213</v>
      </c>
      <c r="H13" s="99" t="s">
        <v>456</v>
      </c>
      <c r="I13" s="100" t="s">
        <v>190</v>
      </c>
      <c r="J13" s="100" t="s">
        <v>453</v>
      </c>
      <c r="K13" s="99" t="s">
        <v>448</v>
      </c>
      <c r="L13" s="100" t="s">
        <v>459</v>
      </c>
      <c r="M13" s="100" t="s">
        <v>460</v>
      </c>
      <c r="N13" s="99" t="s">
        <v>214</v>
      </c>
      <c r="O13" s="99" t="s">
        <v>288</v>
      </c>
      <c r="P13" s="99"/>
      <c r="Q13" s="99"/>
      <c r="R13" s="99"/>
      <c r="S13" s="99">
        <v>1</v>
      </c>
      <c r="T13" s="99">
        <v>1</v>
      </c>
      <c r="U13" s="99">
        <v>1</v>
      </c>
      <c r="V13" s="99">
        <v>1</v>
      </c>
      <c r="W13" s="99">
        <v>1</v>
      </c>
      <c r="X13" s="99">
        <v>1</v>
      </c>
      <c r="Y13" s="99">
        <v>1</v>
      </c>
      <c r="Z13" s="99" t="s">
        <v>598</v>
      </c>
      <c r="AA13" s="99"/>
      <c r="AB13" s="99"/>
      <c r="AC13" s="99"/>
      <c r="AD13" s="99"/>
      <c r="AE13" s="99"/>
      <c r="AF13" s="99"/>
      <c r="AG13" s="109"/>
    </row>
    <row r="14" spans="1:33" ht="118.8">
      <c r="A14" s="80"/>
      <c r="B14" s="99">
        <f t="shared" si="0"/>
        <v>5</v>
      </c>
      <c r="C14" s="108" t="s">
        <v>461</v>
      </c>
      <c r="D14" s="99" t="s">
        <v>146</v>
      </c>
      <c r="E14" s="99"/>
      <c r="F14" s="99" t="s">
        <v>265</v>
      </c>
      <c r="G14" s="99" t="s">
        <v>213</v>
      </c>
      <c r="H14" s="99" t="s">
        <v>445</v>
      </c>
      <c r="I14" s="100" t="s">
        <v>191</v>
      </c>
      <c r="J14" s="100" t="s">
        <v>462</v>
      </c>
      <c r="K14" s="99" t="s">
        <v>448</v>
      </c>
      <c r="L14" s="100" t="s">
        <v>463</v>
      </c>
      <c r="M14" s="100" t="s">
        <v>464</v>
      </c>
      <c r="N14" s="99" t="s">
        <v>214</v>
      </c>
      <c r="O14" s="99" t="s">
        <v>288</v>
      </c>
      <c r="P14" s="99"/>
      <c r="Q14" s="99"/>
      <c r="R14" s="99"/>
      <c r="S14" s="99">
        <v>1</v>
      </c>
      <c r="T14" s="99">
        <v>1</v>
      </c>
      <c r="U14" s="99">
        <v>1</v>
      </c>
      <c r="V14" s="99">
        <v>1</v>
      </c>
      <c r="W14" s="99">
        <v>1</v>
      </c>
      <c r="X14" s="99">
        <v>1</v>
      </c>
      <c r="Y14" s="99">
        <v>1</v>
      </c>
      <c r="Z14" s="99" t="s">
        <v>598</v>
      </c>
      <c r="AA14" s="99"/>
      <c r="AB14" s="99"/>
      <c r="AC14" s="99"/>
      <c r="AD14" s="99"/>
      <c r="AE14" s="99"/>
      <c r="AF14" s="99"/>
      <c r="AG14" s="109"/>
    </row>
    <row r="15" spans="1:33" ht="132">
      <c r="A15" s="80"/>
      <c r="B15" s="99">
        <f t="shared" si="0"/>
        <v>6</v>
      </c>
      <c r="C15" s="108" t="s">
        <v>461</v>
      </c>
      <c r="D15" s="99" t="s">
        <v>146</v>
      </c>
      <c r="E15" s="99"/>
      <c r="F15" s="99" t="s">
        <v>266</v>
      </c>
      <c r="G15" s="99" t="s">
        <v>213</v>
      </c>
      <c r="H15" s="99" t="s">
        <v>456</v>
      </c>
      <c r="I15" s="100" t="s">
        <v>684</v>
      </c>
      <c r="J15" s="100" t="s">
        <v>465</v>
      </c>
      <c r="K15" s="99" t="s">
        <v>448</v>
      </c>
      <c r="L15" s="100" t="s">
        <v>466</v>
      </c>
      <c r="M15" s="100" t="s">
        <v>467</v>
      </c>
      <c r="N15" s="99" t="s">
        <v>214</v>
      </c>
      <c r="O15" s="99" t="s">
        <v>288</v>
      </c>
      <c r="P15" s="99"/>
      <c r="Q15" s="99"/>
      <c r="R15" s="99"/>
      <c r="S15" s="99">
        <v>1</v>
      </c>
      <c r="T15" s="99">
        <v>1</v>
      </c>
      <c r="U15" s="99">
        <v>1</v>
      </c>
      <c r="V15" s="99">
        <v>1</v>
      </c>
      <c r="W15" s="99">
        <v>1</v>
      </c>
      <c r="X15" s="99">
        <v>1</v>
      </c>
      <c r="Y15" s="99">
        <v>1</v>
      </c>
      <c r="Z15" s="99" t="s">
        <v>598</v>
      </c>
      <c r="AA15" s="99"/>
      <c r="AB15" s="99"/>
      <c r="AC15" s="99"/>
      <c r="AD15" s="99"/>
      <c r="AE15" s="99"/>
      <c r="AF15" s="99"/>
      <c r="AG15" s="109"/>
    </row>
    <row r="16" spans="1:33" ht="132">
      <c r="A16" s="80"/>
      <c r="B16" s="99">
        <f t="shared" si="0"/>
        <v>7</v>
      </c>
      <c r="C16" s="108" t="s">
        <v>461</v>
      </c>
      <c r="D16" s="99" t="s">
        <v>146</v>
      </c>
      <c r="E16" s="99"/>
      <c r="F16" s="99" t="s">
        <v>267</v>
      </c>
      <c r="G16" s="99" t="s">
        <v>213</v>
      </c>
      <c r="H16" s="99" t="s">
        <v>445</v>
      </c>
      <c r="I16" s="100" t="s">
        <v>685</v>
      </c>
      <c r="J16" s="100" t="s">
        <v>465</v>
      </c>
      <c r="K16" s="99" t="s">
        <v>448</v>
      </c>
      <c r="L16" s="100" t="s">
        <v>468</v>
      </c>
      <c r="M16" s="100" t="s">
        <v>469</v>
      </c>
      <c r="N16" s="99" t="s">
        <v>214</v>
      </c>
      <c r="O16" s="99" t="s">
        <v>288</v>
      </c>
      <c r="P16" s="99"/>
      <c r="Q16" s="99"/>
      <c r="R16" s="99"/>
      <c r="S16" s="99">
        <v>1</v>
      </c>
      <c r="T16" s="99">
        <v>1</v>
      </c>
      <c r="U16" s="99">
        <v>1</v>
      </c>
      <c r="V16" s="99">
        <v>1</v>
      </c>
      <c r="W16" s="99">
        <v>1</v>
      </c>
      <c r="X16" s="99">
        <v>1</v>
      </c>
      <c r="Y16" s="99">
        <v>1</v>
      </c>
      <c r="Z16" s="99" t="s">
        <v>598</v>
      </c>
      <c r="AA16" s="99"/>
      <c r="AB16" s="99"/>
      <c r="AC16" s="99"/>
      <c r="AD16" s="99"/>
      <c r="AE16" s="99"/>
      <c r="AF16" s="99"/>
      <c r="AG16" s="109"/>
    </row>
    <row r="17" spans="1:33" ht="118.8">
      <c r="A17" s="80"/>
      <c r="B17" s="99">
        <f t="shared" si="0"/>
        <v>8</v>
      </c>
      <c r="C17" s="108" t="s">
        <v>470</v>
      </c>
      <c r="D17" s="99" t="s">
        <v>147</v>
      </c>
      <c r="E17" s="99"/>
      <c r="F17" s="99" t="s">
        <v>268</v>
      </c>
      <c r="G17" s="99" t="s">
        <v>213</v>
      </c>
      <c r="H17" s="99" t="s">
        <v>471</v>
      </c>
      <c r="I17" s="100" t="s">
        <v>192</v>
      </c>
      <c r="J17" s="100" t="s">
        <v>472</v>
      </c>
      <c r="K17" s="99" t="s">
        <v>448</v>
      </c>
      <c r="L17" s="100" t="s">
        <v>473</v>
      </c>
      <c r="M17" s="100" t="s">
        <v>474</v>
      </c>
      <c r="N17" s="99" t="s">
        <v>214</v>
      </c>
      <c r="O17" s="99" t="s">
        <v>591</v>
      </c>
      <c r="P17" s="99"/>
      <c r="Q17" s="99"/>
      <c r="R17" s="99"/>
      <c r="S17" s="99">
        <v>1</v>
      </c>
      <c r="T17" s="99">
        <v>1</v>
      </c>
      <c r="U17" s="99">
        <v>1</v>
      </c>
      <c r="V17" s="99">
        <v>1</v>
      </c>
      <c r="W17" s="99">
        <v>1</v>
      </c>
      <c r="X17" s="99">
        <v>1</v>
      </c>
      <c r="Y17" s="99">
        <v>1</v>
      </c>
      <c r="Z17" s="99" t="s">
        <v>598</v>
      </c>
      <c r="AA17" s="99"/>
      <c r="AB17" s="99"/>
      <c r="AC17" s="99"/>
      <c r="AD17" s="99"/>
      <c r="AE17" s="99"/>
      <c r="AF17" s="99"/>
      <c r="AG17" s="109"/>
    </row>
    <row r="18" spans="1:33" ht="132">
      <c r="A18" s="80"/>
      <c r="B18" s="99">
        <f t="shared" si="0"/>
        <v>9</v>
      </c>
      <c r="C18" s="108" t="s">
        <v>470</v>
      </c>
      <c r="D18" s="99" t="s">
        <v>147</v>
      </c>
      <c r="E18" s="99"/>
      <c r="F18" s="99" t="s">
        <v>269</v>
      </c>
      <c r="G18" s="99" t="s">
        <v>213</v>
      </c>
      <c r="H18" s="99" t="s">
        <v>445</v>
      </c>
      <c r="I18" s="100" t="s">
        <v>686</v>
      </c>
      <c r="J18" s="100" t="s">
        <v>475</v>
      </c>
      <c r="K18" s="99" t="s">
        <v>448</v>
      </c>
      <c r="L18" s="100" t="s">
        <v>476</v>
      </c>
      <c r="M18" s="100" t="s">
        <v>477</v>
      </c>
      <c r="N18" s="99" t="s">
        <v>214</v>
      </c>
      <c r="O18" s="99" t="s">
        <v>288</v>
      </c>
      <c r="P18" s="99"/>
      <c r="Q18" s="99"/>
      <c r="R18" s="99"/>
      <c r="S18" s="99">
        <v>1</v>
      </c>
      <c r="T18" s="99">
        <v>1</v>
      </c>
      <c r="U18" s="99">
        <v>1</v>
      </c>
      <c r="V18" s="99">
        <v>1</v>
      </c>
      <c r="W18" s="99">
        <v>1</v>
      </c>
      <c r="X18" s="99">
        <v>1</v>
      </c>
      <c r="Y18" s="99">
        <v>1</v>
      </c>
      <c r="Z18" s="99" t="s">
        <v>598</v>
      </c>
      <c r="AA18" s="99"/>
      <c r="AB18" s="99"/>
      <c r="AC18" s="99"/>
      <c r="AD18" s="99"/>
      <c r="AE18" s="99"/>
      <c r="AF18" s="99"/>
      <c r="AG18" s="109"/>
    </row>
    <row r="19" spans="1:33" ht="132">
      <c r="A19" s="80"/>
      <c r="B19" s="99">
        <f t="shared" si="0"/>
        <v>10</v>
      </c>
      <c r="C19" s="108" t="s">
        <v>470</v>
      </c>
      <c r="D19" s="99" t="s">
        <v>147</v>
      </c>
      <c r="E19" s="99"/>
      <c r="F19" s="99" t="s">
        <v>270</v>
      </c>
      <c r="G19" s="99" t="s">
        <v>213</v>
      </c>
      <c r="H19" s="99" t="s">
        <v>445</v>
      </c>
      <c r="I19" s="100" t="s">
        <v>687</v>
      </c>
      <c r="J19" s="100" t="s">
        <v>475</v>
      </c>
      <c r="K19" s="99" t="s">
        <v>448</v>
      </c>
      <c r="L19" s="100" t="s">
        <v>478</v>
      </c>
      <c r="M19" s="100" t="s">
        <v>479</v>
      </c>
      <c r="N19" s="99" t="s">
        <v>214</v>
      </c>
      <c r="O19" s="99" t="s">
        <v>288</v>
      </c>
      <c r="P19" s="99"/>
      <c r="Q19" s="99"/>
      <c r="R19" s="99"/>
      <c r="S19" s="99">
        <v>1</v>
      </c>
      <c r="T19" s="99">
        <v>1</v>
      </c>
      <c r="U19" s="99">
        <v>1</v>
      </c>
      <c r="V19" s="99">
        <v>1</v>
      </c>
      <c r="W19" s="99">
        <v>1</v>
      </c>
      <c r="X19" s="99">
        <v>1</v>
      </c>
      <c r="Y19" s="99">
        <v>1</v>
      </c>
      <c r="Z19" s="99" t="s">
        <v>598</v>
      </c>
      <c r="AA19" s="99"/>
      <c r="AB19" s="99"/>
      <c r="AC19" s="99"/>
      <c r="AD19" s="99"/>
      <c r="AE19" s="99"/>
      <c r="AF19" s="99"/>
      <c r="AG19" s="109"/>
    </row>
    <row r="20" spans="1:33" ht="105.6">
      <c r="A20" s="80"/>
      <c r="B20" s="99">
        <f t="shared" si="0"/>
        <v>11</v>
      </c>
      <c r="C20" s="108" t="s">
        <v>480</v>
      </c>
      <c r="D20" s="99" t="s">
        <v>148</v>
      </c>
      <c r="E20" s="99"/>
      <c r="F20" s="99" t="s">
        <v>271</v>
      </c>
      <c r="G20" s="99" t="s">
        <v>213</v>
      </c>
      <c r="H20" s="99" t="s">
        <v>445</v>
      </c>
      <c r="I20" s="100" t="s">
        <v>193</v>
      </c>
      <c r="J20" s="100" t="s">
        <v>481</v>
      </c>
      <c r="K20" s="99" t="s">
        <v>448</v>
      </c>
      <c r="L20" s="100" t="s">
        <v>473</v>
      </c>
      <c r="M20" s="100" t="s">
        <v>482</v>
      </c>
      <c r="N20" s="99" t="s">
        <v>214</v>
      </c>
      <c r="O20" s="99" t="s">
        <v>590</v>
      </c>
      <c r="P20" s="99"/>
      <c r="Q20" s="99"/>
      <c r="R20" s="99"/>
      <c r="S20" s="99">
        <v>1</v>
      </c>
      <c r="T20" s="99">
        <v>1</v>
      </c>
      <c r="U20" s="99">
        <v>1</v>
      </c>
      <c r="V20" s="99">
        <v>1</v>
      </c>
      <c r="W20" s="99">
        <v>1</v>
      </c>
      <c r="X20" s="99">
        <v>1</v>
      </c>
      <c r="Y20" s="99">
        <v>1</v>
      </c>
      <c r="Z20" s="99" t="s">
        <v>598</v>
      </c>
      <c r="AA20" s="99"/>
      <c r="AB20" s="99"/>
      <c r="AC20" s="99"/>
      <c r="AD20" s="99"/>
      <c r="AE20" s="99"/>
      <c r="AF20" s="99"/>
      <c r="AG20" s="109"/>
    </row>
    <row r="21" spans="1:33" ht="132">
      <c r="A21" s="80"/>
      <c r="B21" s="99">
        <f t="shared" si="0"/>
        <v>12</v>
      </c>
      <c r="C21" s="108" t="s">
        <v>480</v>
      </c>
      <c r="D21" s="99" t="s">
        <v>148</v>
      </c>
      <c r="E21" s="99"/>
      <c r="F21" s="99" t="s">
        <v>277</v>
      </c>
      <c r="G21" s="99" t="s">
        <v>213</v>
      </c>
      <c r="H21" s="99" t="s">
        <v>471</v>
      </c>
      <c r="I21" s="100" t="s">
        <v>688</v>
      </c>
      <c r="J21" s="100" t="s">
        <v>483</v>
      </c>
      <c r="K21" s="99" t="s">
        <v>448</v>
      </c>
      <c r="L21" s="100" t="s">
        <v>484</v>
      </c>
      <c r="M21" s="100" t="s">
        <v>485</v>
      </c>
      <c r="N21" s="99" t="s">
        <v>214</v>
      </c>
      <c r="O21" s="99" t="s">
        <v>288</v>
      </c>
      <c r="P21" s="99"/>
      <c r="Q21" s="99"/>
      <c r="R21" s="99"/>
      <c r="S21" s="99">
        <v>1</v>
      </c>
      <c r="T21" s="99">
        <v>1</v>
      </c>
      <c r="U21" s="99">
        <v>1</v>
      </c>
      <c r="V21" s="99">
        <v>1</v>
      </c>
      <c r="W21" s="99">
        <v>1</v>
      </c>
      <c r="X21" s="99">
        <v>1</v>
      </c>
      <c r="Y21" s="99">
        <v>1</v>
      </c>
      <c r="Z21" s="99" t="s">
        <v>598</v>
      </c>
      <c r="AA21" s="99"/>
      <c r="AB21" s="99"/>
      <c r="AC21" s="99"/>
      <c r="AD21" s="99"/>
      <c r="AE21" s="99"/>
      <c r="AF21" s="99"/>
      <c r="AG21" s="109"/>
    </row>
    <row r="22" spans="1:33" ht="132">
      <c r="A22" s="80"/>
      <c r="B22" s="99">
        <f t="shared" si="0"/>
        <v>13</v>
      </c>
      <c r="C22" s="108" t="s">
        <v>480</v>
      </c>
      <c r="D22" s="99" t="s">
        <v>148</v>
      </c>
      <c r="E22" s="99"/>
      <c r="F22" s="99" t="s">
        <v>278</v>
      </c>
      <c r="G22" s="99" t="s">
        <v>213</v>
      </c>
      <c r="H22" s="99" t="s">
        <v>445</v>
      </c>
      <c r="I22" s="100" t="s">
        <v>689</v>
      </c>
      <c r="J22" s="100" t="s">
        <v>483</v>
      </c>
      <c r="K22" s="99" t="s">
        <v>448</v>
      </c>
      <c r="L22" s="100" t="s">
        <v>486</v>
      </c>
      <c r="M22" s="100" t="s">
        <v>487</v>
      </c>
      <c r="N22" s="99" t="s">
        <v>214</v>
      </c>
      <c r="O22" s="99" t="s">
        <v>288</v>
      </c>
      <c r="P22" s="99"/>
      <c r="Q22" s="99"/>
      <c r="R22" s="99"/>
      <c r="S22" s="99">
        <v>1</v>
      </c>
      <c r="T22" s="99">
        <v>1</v>
      </c>
      <c r="U22" s="99">
        <v>1</v>
      </c>
      <c r="V22" s="99">
        <v>1</v>
      </c>
      <c r="W22" s="99">
        <v>1</v>
      </c>
      <c r="X22" s="99">
        <v>1</v>
      </c>
      <c r="Y22" s="99">
        <v>1</v>
      </c>
      <c r="Z22" s="99" t="s">
        <v>598</v>
      </c>
      <c r="AA22" s="99"/>
      <c r="AB22" s="99"/>
      <c r="AC22" s="99"/>
      <c r="AD22" s="99"/>
      <c r="AE22" s="99"/>
      <c r="AF22" s="99"/>
      <c r="AG22" s="109"/>
    </row>
    <row r="23" spans="1:33" ht="105.6">
      <c r="A23" s="80"/>
      <c r="B23" s="99">
        <f t="shared" si="0"/>
        <v>14</v>
      </c>
      <c r="C23" s="108" t="s">
        <v>488</v>
      </c>
      <c r="D23" s="99" t="s">
        <v>149</v>
      </c>
      <c r="E23" s="99"/>
      <c r="F23" s="99" t="s">
        <v>295</v>
      </c>
      <c r="G23" s="99" t="s">
        <v>213</v>
      </c>
      <c r="H23" s="99" t="s">
        <v>471</v>
      </c>
      <c r="I23" s="100" t="s">
        <v>194</v>
      </c>
      <c r="J23" s="100" t="s">
        <v>489</v>
      </c>
      <c r="K23" s="99" t="s">
        <v>448</v>
      </c>
      <c r="L23" s="100" t="s">
        <v>473</v>
      </c>
      <c r="M23" s="100" t="s">
        <v>490</v>
      </c>
      <c r="N23" s="99" t="s">
        <v>214</v>
      </c>
      <c r="O23" s="99" t="s">
        <v>589</v>
      </c>
      <c r="P23" s="99"/>
      <c r="Q23" s="99"/>
      <c r="R23" s="99"/>
      <c r="S23" s="99">
        <v>1</v>
      </c>
      <c r="T23" s="99">
        <v>1</v>
      </c>
      <c r="U23" s="99">
        <v>1</v>
      </c>
      <c r="V23" s="99">
        <v>1</v>
      </c>
      <c r="W23" s="99">
        <v>1</v>
      </c>
      <c r="X23" s="99">
        <v>1</v>
      </c>
      <c r="Y23" s="99">
        <v>1</v>
      </c>
      <c r="Z23" s="99" t="s">
        <v>598</v>
      </c>
      <c r="AA23" s="99"/>
      <c r="AB23" s="99"/>
      <c r="AC23" s="99"/>
      <c r="AD23" s="99"/>
      <c r="AE23" s="99"/>
      <c r="AF23" s="99"/>
      <c r="AG23" s="109"/>
    </row>
    <row r="24" spans="1:33" ht="132">
      <c r="A24" s="80"/>
      <c r="B24" s="99">
        <f t="shared" si="0"/>
        <v>15</v>
      </c>
      <c r="C24" s="108" t="s">
        <v>488</v>
      </c>
      <c r="D24" s="99" t="s">
        <v>149</v>
      </c>
      <c r="E24" s="99"/>
      <c r="F24" s="99" t="s">
        <v>296</v>
      </c>
      <c r="G24" s="99" t="s">
        <v>213</v>
      </c>
      <c r="H24" s="99" t="s">
        <v>471</v>
      </c>
      <c r="I24" s="100" t="s">
        <v>690</v>
      </c>
      <c r="J24" s="100" t="s">
        <v>491</v>
      </c>
      <c r="K24" s="99" t="s">
        <v>448</v>
      </c>
      <c r="L24" s="100" t="s">
        <v>492</v>
      </c>
      <c r="M24" s="100" t="s">
        <v>493</v>
      </c>
      <c r="N24" s="99" t="s">
        <v>214</v>
      </c>
      <c r="O24" s="99" t="s">
        <v>288</v>
      </c>
      <c r="P24" s="99"/>
      <c r="Q24" s="99"/>
      <c r="R24" s="99"/>
      <c r="S24" s="99">
        <v>1</v>
      </c>
      <c r="T24" s="99">
        <v>1</v>
      </c>
      <c r="U24" s="99">
        <v>1</v>
      </c>
      <c r="V24" s="99">
        <v>1</v>
      </c>
      <c r="W24" s="99">
        <v>1</v>
      </c>
      <c r="X24" s="99">
        <v>1</v>
      </c>
      <c r="Y24" s="99">
        <v>1</v>
      </c>
      <c r="Z24" s="99" t="s">
        <v>598</v>
      </c>
      <c r="AA24" s="99"/>
      <c r="AB24" s="99"/>
      <c r="AC24" s="99"/>
      <c r="AD24" s="99"/>
      <c r="AE24" s="99"/>
      <c r="AF24" s="99"/>
      <c r="AG24" s="109"/>
    </row>
    <row r="25" spans="1:33" ht="118.8">
      <c r="A25" s="80"/>
      <c r="B25" s="99">
        <f t="shared" si="0"/>
        <v>16</v>
      </c>
      <c r="C25" s="108" t="s">
        <v>488</v>
      </c>
      <c r="D25" s="99" t="s">
        <v>149</v>
      </c>
      <c r="E25" s="99"/>
      <c r="F25" s="99" t="s">
        <v>297</v>
      </c>
      <c r="G25" s="99" t="s">
        <v>213</v>
      </c>
      <c r="H25" s="99" t="s">
        <v>471</v>
      </c>
      <c r="I25" s="100" t="s">
        <v>691</v>
      </c>
      <c r="J25" s="100" t="s">
        <v>494</v>
      </c>
      <c r="K25" s="99" t="s">
        <v>448</v>
      </c>
      <c r="L25" s="100" t="s">
        <v>495</v>
      </c>
      <c r="M25" s="100" t="s">
        <v>496</v>
      </c>
      <c r="N25" s="99" t="s">
        <v>214</v>
      </c>
      <c r="O25" s="99" t="s">
        <v>288</v>
      </c>
      <c r="P25" s="99"/>
      <c r="Q25" s="99"/>
      <c r="R25" s="99"/>
      <c r="S25" s="99">
        <v>1</v>
      </c>
      <c r="T25" s="99">
        <v>1</v>
      </c>
      <c r="U25" s="99">
        <v>1</v>
      </c>
      <c r="V25" s="99">
        <v>1</v>
      </c>
      <c r="W25" s="99">
        <v>1</v>
      </c>
      <c r="X25" s="99">
        <v>1</v>
      </c>
      <c r="Y25" s="99">
        <v>1</v>
      </c>
      <c r="Z25" s="99" t="s">
        <v>598</v>
      </c>
      <c r="AA25" s="99"/>
      <c r="AB25" s="99"/>
      <c r="AC25" s="99"/>
      <c r="AD25" s="99"/>
      <c r="AE25" s="99"/>
      <c r="AF25" s="99"/>
      <c r="AG25" s="109"/>
    </row>
    <row r="26" spans="1:33" ht="79.2">
      <c r="A26" s="80"/>
      <c r="B26" s="99">
        <f t="shared" si="0"/>
        <v>17</v>
      </c>
      <c r="C26" s="108" t="s">
        <v>497</v>
      </c>
      <c r="D26" s="99" t="s">
        <v>150</v>
      </c>
      <c r="E26" s="99"/>
      <c r="F26" s="99" t="s">
        <v>298</v>
      </c>
      <c r="G26" s="99" t="s">
        <v>213</v>
      </c>
      <c r="H26" s="99" t="s">
        <v>471</v>
      </c>
      <c r="I26" s="100" t="s">
        <v>195</v>
      </c>
      <c r="J26" s="100" t="s">
        <v>498</v>
      </c>
      <c r="K26" s="99" t="s">
        <v>448</v>
      </c>
      <c r="L26" s="100" t="s">
        <v>499</v>
      </c>
      <c r="M26" s="100" t="s">
        <v>500</v>
      </c>
      <c r="N26" s="99" t="s">
        <v>215</v>
      </c>
      <c r="O26" s="99" t="s">
        <v>591</v>
      </c>
      <c r="P26" s="99"/>
      <c r="Q26" s="99"/>
      <c r="R26" s="99"/>
      <c r="S26" s="99">
        <v>1</v>
      </c>
      <c r="T26" s="99">
        <v>1</v>
      </c>
      <c r="U26" s="99">
        <v>1</v>
      </c>
      <c r="V26" s="99">
        <v>1</v>
      </c>
      <c r="W26" s="99">
        <v>1</v>
      </c>
      <c r="X26" s="99">
        <v>1</v>
      </c>
      <c r="Y26" s="99">
        <v>1</v>
      </c>
      <c r="Z26" s="99" t="s">
        <v>598</v>
      </c>
      <c r="AA26" s="99"/>
      <c r="AB26" s="99"/>
      <c r="AC26" s="99"/>
      <c r="AD26" s="99"/>
      <c r="AE26" s="99"/>
      <c r="AF26" s="99"/>
      <c r="AG26" s="109"/>
    </row>
    <row r="27" spans="1:33" ht="79.2">
      <c r="A27" s="80"/>
      <c r="B27" s="99">
        <f t="shared" si="0"/>
        <v>18</v>
      </c>
      <c r="C27" s="108" t="s">
        <v>501</v>
      </c>
      <c r="D27" s="99" t="s">
        <v>151</v>
      </c>
      <c r="E27" s="99"/>
      <c r="F27" s="99" t="s">
        <v>299</v>
      </c>
      <c r="G27" s="99" t="s">
        <v>213</v>
      </c>
      <c r="H27" s="99" t="s">
        <v>471</v>
      </c>
      <c r="I27" s="100" t="s">
        <v>196</v>
      </c>
      <c r="J27" s="100" t="s">
        <v>498</v>
      </c>
      <c r="K27" s="99" t="s">
        <v>448</v>
      </c>
      <c r="L27" s="100" t="s">
        <v>502</v>
      </c>
      <c r="M27" s="100" t="s">
        <v>503</v>
      </c>
      <c r="N27" s="99" t="s">
        <v>215</v>
      </c>
      <c r="O27" s="99" t="s">
        <v>591</v>
      </c>
      <c r="P27" s="99"/>
      <c r="Q27" s="99"/>
      <c r="R27" s="99"/>
      <c r="S27" s="99">
        <v>1</v>
      </c>
      <c r="T27" s="99">
        <v>1</v>
      </c>
      <c r="U27" s="99">
        <v>1</v>
      </c>
      <c r="V27" s="99">
        <v>1</v>
      </c>
      <c r="W27" s="99">
        <v>1</v>
      </c>
      <c r="X27" s="99">
        <v>1</v>
      </c>
      <c r="Y27" s="99">
        <v>1</v>
      </c>
      <c r="Z27" s="99" t="s">
        <v>598</v>
      </c>
      <c r="AA27" s="99"/>
      <c r="AB27" s="99"/>
      <c r="AC27" s="99"/>
      <c r="AD27" s="99"/>
      <c r="AE27" s="99"/>
      <c r="AF27" s="99"/>
      <c r="AG27" s="109"/>
    </row>
    <row r="28" spans="1:33" ht="79.2">
      <c r="A28" s="80"/>
      <c r="B28" s="99">
        <f t="shared" si="0"/>
        <v>19</v>
      </c>
      <c r="C28" s="108" t="s">
        <v>504</v>
      </c>
      <c r="D28" s="99" t="s">
        <v>152</v>
      </c>
      <c r="E28" s="99"/>
      <c r="F28" s="99" t="s">
        <v>328</v>
      </c>
      <c r="G28" s="99" t="s">
        <v>213</v>
      </c>
      <c r="H28" s="99" t="s">
        <v>445</v>
      </c>
      <c r="I28" s="100" t="s">
        <v>197</v>
      </c>
      <c r="J28" s="100" t="s">
        <v>498</v>
      </c>
      <c r="K28" s="99" t="s">
        <v>448</v>
      </c>
      <c r="L28" s="100" t="s">
        <v>505</v>
      </c>
      <c r="M28" s="100" t="s">
        <v>506</v>
      </c>
      <c r="N28" s="99" t="s">
        <v>215</v>
      </c>
      <c r="O28" s="99" t="s">
        <v>590</v>
      </c>
      <c r="P28" s="99"/>
      <c r="Q28" s="99"/>
      <c r="R28" s="99"/>
      <c r="S28" s="99">
        <v>1</v>
      </c>
      <c r="T28" s="99">
        <v>1</v>
      </c>
      <c r="U28" s="99">
        <v>1</v>
      </c>
      <c r="V28" s="99">
        <v>1</v>
      </c>
      <c r="W28" s="99">
        <v>1</v>
      </c>
      <c r="X28" s="99">
        <v>1</v>
      </c>
      <c r="Y28" s="99">
        <v>1</v>
      </c>
      <c r="Z28" s="99" t="s">
        <v>598</v>
      </c>
      <c r="AA28" s="99"/>
      <c r="AB28" s="99"/>
      <c r="AC28" s="99"/>
      <c r="AD28" s="99"/>
      <c r="AE28" s="99"/>
      <c r="AF28" s="99"/>
      <c r="AG28" s="109"/>
    </row>
    <row r="29" spans="1:33" ht="92.4">
      <c r="A29" s="80"/>
      <c r="B29" s="99">
        <f t="shared" si="0"/>
        <v>20</v>
      </c>
      <c r="C29" s="108" t="s">
        <v>507</v>
      </c>
      <c r="D29" s="99" t="s">
        <v>153</v>
      </c>
      <c r="E29" s="99"/>
      <c r="F29" s="99" t="s">
        <v>329</v>
      </c>
      <c r="G29" s="99" t="s">
        <v>213</v>
      </c>
      <c r="H29" s="99" t="s">
        <v>445</v>
      </c>
      <c r="I29" s="100" t="s">
        <v>198</v>
      </c>
      <c r="J29" s="100" t="s">
        <v>508</v>
      </c>
      <c r="K29" s="99" t="s">
        <v>448</v>
      </c>
      <c r="L29" s="100" t="s">
        <v>509</v>
      </c>
      <c r="M29" s="100" t="s">
        <v>510</v>
      </c>
      <c r="N29" s="99" t="s">
        <v>216</v>
      </c>
      <c r="O29" s="99" t="s">
        <v>589</v>
      </c>
      <c r="P29" s="99"/>
      <c r="Q29" s="99"/>
      <c r="R29" s="99"/>
      <c r="S29" s="99">
        <v>1</v>
      </c>
      <c r="T29" s="99">
        <v>1</v>
      </c>
      <c r="U29" s="99">
        <v>1</v>
      </c>
      <c r="V29" s="99">
        <v>1</v>
      </c>
      <c r="W29" s="99">
        <v>1</v>
      </c>
      <c r="X29" s="99">
        <v>1</v>
      </c>
      <c r="Y29" s="99">
        <v>1</v>
      </c>
      <c r="Z29" s="99" t="s">
        <v>598</v>
      </c>
      <c r="AA29" s="99"/>
      <c r="AB29" s="99"/>
      <c r="AC29" s="99"/>
      <c r="AD29" s="99"/>
      <c r="AE29" s="99"/>
      <c r="AF29" s="99"/>
      <c r="AG29" s="109"/>
    </row>
    <row r="30" spans="1:33" ht="132">
      <c r="A30" s="80"/>
      <c r="B30" s="99">
        <f t="shared" si="0"/>
        <v>21</v>
      </c>
      <c r="C30" s="108" t="s">
        <v>511</v>
      </c>
      <c r="D30" s="99" t="s">
        <v>154</v>
      </c>
      <c r="E30" s="99"/>
      <c r="F30" s="99" t="s">
        <v>330</v>
      </c>
      <c r="G30" s="99" t="s">
        <v>213</v>
      </c>
      <c r="H30" s="99" t="s">
        <v>445</v>
      </c>
      <c r="I30" s="100" t="s">
        <v>199</v>
      </c>
      <c r="J30" s="100" t="s">
        <v>512</v>
      </c>
      <c r="K30" s="99" t="s">
        <v>448</v>
      </c>
      <c r="L30" s="100" t="s">
        <v>509</v>
      </c>
      <c r="M30" s="100" t="s">
        <v>513</v>
      </c>
      <c r="N30" s="99" t="s">
        <v>216</v>
      </c>
      <c r="O30" s="99" t="s">
        <v>589</v>
      </c>
      <c r="P30" s="99"/>
      <c r="Q30" s="99"/>
      <c r="R30" s="99"/>
      <c r="S30" s="99">
        <v>1</v>
      </c>
      <c r="T30" s="99">
        <v>1</v>
      </c>
      <c r="U30" s="99">
        <v>1</v>
      </c>
      <c r="V30" s="99">
        <v>1</v>
      </c>
      <c r="W30" s="99">
        <v>1</v>
      </c>
      <c r="X30" s="99">
        <v>1</v>
      </c>
      <c r="Y30" s="99">
        <v>1</v>
      </c>
      <c r="Z30" s="99" t="s">
        <v>598</v>
      </c>
      <c r="AA30" s="99"/>
      <c r="AB30" s="99"/>
      <c r="AC30" s="99"/>
      <c r="AD30" s="99"/>
      <c r="AE30" s="99"/>
      <c r="AF30" s="99"/>
      <c r="AG30" s="109"/>
    </row>
    <row r="31" spans="1:33" ht="132">
      <c r="A31" s="80"/>
      <c r="B31" s="99">
        <f t="shared" si="0"/>
        <v>22</v>
      </c>
      <c r="C31" s="108" t="s">
        <v>514</v>
      </c>
      <c r="D31" s="99" t="s">
        <v>155</v>
      </c>
      <c r="E31" s="99"/>
      <c r="F31" s="99" t="s">
        <v>331</v>
      </c>
      <c r="G31" s="99" t="s">
        <v>213</v>
      </c>
      <c r="H31" s="99" t="s">
        <v>471</v>
      </c>
      <c r="I31" s="100" t="s">
        <v>200</v>
      </c>
      <c r="J31" s="100" t="s">
        <v>515</v>
      </c>
      <c r="K31" s="99" t="s">
        <v>448</v>
      </c>
      <c r="L31" s="100" t="s">
        <v>516</v>
      </c>
      <c r="M31" s="100" t="s">
        <v>517</v>
      </c>
      <c r="N31" s="99" t="s">
        <v>217</v>
      </c>
      <c r="O31" s="99" t="s">
        <v>288</v>
      </c>
      <c r="P31" s="99"/>
      <c r="Q31" s="99"/>
      <c r="R31" s="99"/>
      <c r="S31" s="99">
        <v>1</v>
      </c>
      <c r="T31" s="99">
        <v>1</v>
      </c>
      <c r="U31" s="99">
        <v>1</v>
      </c>
      <c r="V31" s="99">
        <v>1</v>
      </c>
      <c r="W31" s="99">
        <v>1</v>
      </c>
      <c r="X31" s="99">
        <v>1</v>
      </c>
      <c r="Y31" s="99">
        <v>1</v>
      </c>
      <c r="Z31" s="99" t="s">
        <v>598</v>
      </c>
      <c r="AA31" s="99"/>
      <c r="AB31" s="99"/>
      <c r="AC31" s="99"/>
      <c r="AD31" s="99"/>
      <c r="AE31" s="99"/>
      <c r="AF31" s="99"/>
      <c r="AG31" s="109"/>
    </row>
    <row r="32" spans="1:33" ht="79.2">
      <c r="A32" s="80"/>
      <c r="B32" s="99">
        <f t="shared" si="0"/>
        <v>23</v>
      </c>
      <c r="C32" s="108" t="s">
        <v>518</v>
      </c>
      <c r="D32" s="99" t="s">
        <v>156</v>
      </c>
      <c r="E32" s="99"/>
      <c r="F32" s="99" t="s">
        <v>332</v>
      </c>
      <c r="G32" s="99" t="s">
        <v>213</v>
      </c>
      <c r="H32" s="99" t="s">
        <v>456</v>
      </c>
      <c r="I32" s="100" t="s">
        <v>200</v>
      </c>
      <c r="J32" s="100" t="s">
        <v>519</v>
      </c>
      <c r="K32" s="99" t="s">
        <v>448</v>
      </c>
      <c r="L32" s="100" t="s">
        <v>520</v>
      </c>
      <c r="M32" s="100" t="s">
        <v>521</v>
      </c>
      <c r="N32" s="99" t="s">
        <v>217</v>
      </c>
      <c r="O32" s="99" t="s">
        <v>288</v>
      </c>
      <c r="P32" s="99"/>
      <c r="Q32" s="99"/>
      <c r="R32" s="99"/>
      <c r="S32" s="99">
        <v>1</v>
      </c>
      <c r="T32" s="99">
        <v>1</v>
      </c>
      <c r="U32" s="99">
        <v>1</v>
      </c>
      <c r="V32" s="99">
        <v>1</v>
      </c>
      <c r="W32" s="99">
        <v>1</v>
      </c>
      <c r="X32" s="99">
        <v>1</v>
      </c>
      <c r="Y32" s="99">
        <v>1</v>
      </c>
      <c r="Z32" s="99" t="s">
        <v>598</v>
      </c>
      <c r="AA32" s="99"/>
      <c r="AB32" s="99"/>
      <c r="AC32" s="99"/>
      <c r="AD32" s="99"/>
      <c r="AE32" s="99"/>
      <c r="AF32" s="99"/>
      <c r="AG32" s="109"/>
    </row>
    <row r="33" spans="1:33" ht="66">
      <c r="A33" s="80"/>
      <c r="B33" s="99">
        <f t="shared" si="0"/>
        <v>24</v>
      </c>
      <c r="C33" s="108" t="s">
        <v>522</v>
      </c>
      <c r="D33" s="99" t="s">
        <v>157</v>
      </c>
      <c r="E33" s="99"/>
      <c r="F33" s="99" t="s">
        <v>333</v>
      </c>
      <c r="G33" s="99" t="s">
        <v>213</v>
      </c>
      <c r="H33" s="99" t="s">
        <v>456</v>
      </c>
      <c r="I33" s="100" t="s">
        <v>201</v>
      </c>
      <c r="J33" s="100" t="s">
        <v>523</v>
      </c>
      <c r="K33" s="99" t="s">
        <v>448</v>
      </c>
      <c r="L33" s="100" t="s">
        <v>524</v>
      </c>
      <c r="M33" s="100" t="s">
        <v>525</v>
      </c>
      <c r="N33" s="99" t="s">
        <v>218</v>
      </c>
      <c r="O33" s="99" t="s">
        <v>288</v>
      </c>
      <c r="P33" s="99"/>
      <c r="Q33" s="99"/>
      <c r="R33" s="99"/>
      <c r="S33" s="99">
        <v>1</v>
      </c>
      <c r="T33" s="99">
        <v>1</v>
      </c>
      <c r="U33" s="99">
        <v>1</v>
      </c>
      <c r="V33" s="99">
        <v>1</v>
      </c>
      <c r="W33" s="99">
        <v>1</v>
      </c>
      <c r="X33" s="99">
        <v>1</v>
      </c>
      <c r="Y33" s="99">
        <v>1</v>
      </c>
      <c r="Z33" s="99" t="s">
        <v>598</v>
      </c>
      <c r="AA33" s="99"/>
      <c r="AB33" s="99"/>
      <c r="AC33" s="99"/>
      <c r="AD33" s="99"/>
      <c r="AE33" s="99"/>
      <c r="AF33" s="99"/>
      <c r="AG33" s="109"/>
    </row>
    <row r="34" spans="1:33" ht="66">
      <c r="A34" s="80"/>
      <c r="B34" s="99">
        <f t="shared" si="0"/>
        <v>25</v>
      </c>
      <c r="C34" s="108" t="s">
        <v>526</v>
      </c>
      <c r="D34" s="99" t="s">
        <v>158</v>
      </c>
      <c r="E34" s="99"/>
      <c r="F34" s="99" t="s">
        <v>334</v>
      </c>
      <c r="G34" s="99" t="s">
        <v>213</v>
      </c>
      <c r="H34" s="99" t="s">
        <v>471</v>
      </c>
      <c r="I34" s="100" t="s">
        <v>643</v>
      </c>
      <c r="J34" s="100" t="s">
        <v>523</v>
      </c>
      <c r="K34" s="99" t="s">
        <v>448</v>
      </c>
      <c r="L34" s="100" t="s">
        <v>527</v>
      </c>
      <c r="M34" s="100" t="s">
        <v>528</v>
      </c>
      <c r="N34" s="99" t="s">
        <v>218</v>
      </c>
      <c r="O34" s="99" t="s">
        <v>288</v>
      </c>
      <c r="P34" s="99"/>
      <c r="Q34" s="99"/>
      <c r="R34" s="99"/>
      <c r="S34" s="99">
        <v>1</v>
      </c>
      <c r="T34" s="99">
        <v>1</v>
      </c>
      <c r="U34" s="99">
        <v>1</v>
      </c>
      <c r="V34" s="99">
        <v>1</v>
      </c>
      <c r="W34" s="99">
        <v>1</v>
      </c>
      <c r="X34" s="99">
        <v>1</v>
      </c>
      <c r="Y34" s="99">
        <v>1</v>
      </c>
      <c r="Z34" s="99" t="s">
        <v>598</v>
      </c>
      <c r="AA34" s="99"/>
      <c r="AB34" s="99"/>
      <c r="AC34" s="99"/>
      <c r="AD34" s="99"/>
      <c r="AE34" s="99"/>
      <c r="AF34" s="99"/>
      <c r="AG34" s="109"/>
    </row>
    <row r="35" spans="1:33" ht="66">
      <c r="A35" s="80"/>
      <c r="B35" s="99">
        <f t="shared" si="0"/>
        <v>26</v>
      </c>
      <c r="C35" s="108" t="s">
        <v>526</v>
      </c>
      <c r="D35" s="99" t="s">
        <v>158</v>
      </c>
      <c r="E35" s="99"/>
      <c r="F35" s="99" t="s">
        <v>335</v>
      </c>
      <c r="G35" s="99" t="s">
        <v>213</v>
      </c>
      <c r="H35" s="99" t="s">
        <v>471</v>
      </c>
      <c r="I35" s="100" t="s">
        <v>644</v>
      </c>
      <c r="J35" s="100" t="s">
        <v>529</v>
      </c>
      <c r="K35" s="99" t="s">
        <v>448</v>
      </c>
      <c r="L35" s="100" t="s">
        <v>530</v>
      </c>
      <c r="M35" s="100" t="s">
        <v>531</v>
      </c>
      <c r="N35" s="99" t="s">
        <v>218</v>
      </c>
      <c r="O35" s="99" t="s">
        <v>288</v>
      </c>
      <c r="P35" s="99"/>
      <c r="Q35" s="99"/>
      <c r="R35" s="99"/>
      <c r="S35" s="99">
        <v>1</v>
      </c>
      <c r="T35" s="99">
        <v>1</v>
      </c>
      <c r="U35" s="99">
        <v>1</v>
      </c>
      <c r="V35" s="99">
        <v>1</v>
      </c>
      <c r="W35" s="99">
        <v>1</v>
      </c>
      <c r="X35" s="99">
        <v>1</v>
      </c>
      <c r="Y35" s="99">
        <v>1</v>
      </c>
      <c r="Z35" s="99" t="s">
        <v>598</v>
      </c>
      <c r="AA35" s="99"/>
      <c r="AB35" s="99"/>
      <c r="AC35" s="99"/>
      <c r="AD35" s="99"/>
      <c r="AE35" s="99"/>
      <c r="AF35" s="99"/>
      <c r="AG35" s="109"/>
    </row>
    <row r="36" spans="1:33" ht="79.2">
      <c r="A36" s="80"/>
      <c r="B36" s="99">
        <f t="shared" si="0"/>
        <v>27</v>
      </c>
      <c r="C36" s="108" t="s">
        <v>532</v>
      </c>
      <c r="D36" s="99" t="s">
        <v>159</v>
      </c>
      <c r="E36" s="99"/>
      <c r="F36" s="99" t="s">
        <v>336</v>
      </c>
      <c r="G36" s="99" t="s">
        <v>213</v>
      </c>
      <c r="H36" s="99" t="s">
        <v>456</v>
      </c>
      <c r="I36" s="100" t="s">
        <v>202</v>
      </c>
      <c r="J36" s="100" t="s">
        <v>533</v>
      </c>
      <c r="K36" s="99" t="s">
        <v>448</v>
      </c>
      <c r="L36" s="100" t="s">
        <v>534</v>
      </c>
      <c r="M36" s="100" t="s">
        <v>535</v>
      </c>
      <c r="N36" s="99" t="s">
        <v>219</v>
      </c>
      <c r="O36" s="99" t="s">
        <v>288</v>
      </c>
      <c r="P36" s="99"/>
      <c r="Q36" s="99"/>
      <c r="R36" s="99"/>
      <c r="S36" s="99">
        <v>1</v>
      </c>
      <c r="T36" s="99">
        <v>1</v>
      </c>
      <c r="U36" s="99">
        <v>1</v>
      </c>
      <c r="V36" s="99">
        <v>1</v>
      </c>
      <c r="W36" s="99">
        <v>1</v>
      </c>
      <c r="X36" s="99">
        <v>1</v>
      </c>
      <c r="Y36" s="99">
        <v>1</v>
      </c>
      <c r="Z36" s="99" t="s">
        <v>598</v>
      </c>
      <c r="AA36" s="99"/>
      <c r="AB36" s="99"/>
      <c r="AC36" s="99"/>
      <c r="AD36" s="99"/>
      <c r="AE36" s="99"/>
      <c r="AF36" s="99"/>
      <c r="AG36" s="109"/>
    </row>
    <row r="37" spans="1:33" ht="132">
      <c r="A37" s="80"/>
      <c r="B37" s="99">
        <f t="shared" si="0"/>
        <v>28</v>
      </c>
      <c r="C37" s="108" t="s">
        <v>536</v>
      </c>
      <c r="D37" s="99" t="s">
        <v>160</v>
      </c>
      <c r="E37" s="99"/>
      <c r="F37" s="99" t="s">
        <v>337</v>
      </c>
      <c r="G37" s="99" t="s">
        <v>213</v>
      </c>
      <c r="H37" s="99" t="s">
        <v>456</v>
      </c>
      <c r="I37" s="100" t="s">
        <v>669</v>
      </c>
      <c r="J37" s="100" t="s">
        <v>537</v>
      </c>
      <c r="K37" s="99" t="s">
        <v>448</v>
      </c>
      <c r="L37" s="100" t="s">
        <v>534</v>
      </c>
      <c r="M37" s="100" t="s">
        <v>538</v>
      </c>
      <c r="N37" s="99" t="s">
        <v>219</v>
      </c>
      <c r="O37" s="99" t="s">
        <v>288</v>
      </c>
      <c r="P37" s="99"/>
      <c r="Q37" s="99"/>
      <c r="R37" s="99"/>
      <c r="S37" s="99">
        <v>1</v>
      </c>
      <c r="T37" s="99">
        <v>1</v>
      </c>
      <c r="U37" s="99">
        <v>1</v>
      </c>
      <c r="V37" s="99">
        <v>1</v>
      </c>
      <c r="W37" s="99">
        <v>1</v>
      </c>
      <c r="X37" s="99">
        <v>1</v>
      </c>
      <c r="Y37" s="99">
        <v>1</v>
      </c>
      <c r="Z37" s="99" t="s">
        <v>598</v>
      </c>
      <c r="AA37" s="99"/>
      <c r="AB37" s="99"/>
      <c r="AC37" s="99"/>
      <c r="AD37" s="99"/>
      <c r="AE37" s="99"/>
      <c r="AF37" s="99"/>
      <c r="AG37" s="109"/>
    </row>
    <row r="38" spans="1:33" ht="118.8">
      <c r="A38" s="80"/>
      <c r="B38" s="99">
        <f t="shared" si="0"/>
        <v>29</v>
      </c>
      <c r="C38" s="108" t="s">
        <v>536</v>
      </c>
      <c r="D38" s="99" t="s">
        <v>160</v>
      </c>
      <c r="E38" s="99"/>
      <c r="F38" s="99" t="s">
        <v>338</v>
      </c>
      <c r="G38" s="99" t="s">
        <v>213</v>
      </c>
      <c r="H38" s="99" t="s">
        <v>456</v>
      </c>
      <c r="I38" s="100" t="s">
        <v>668</v>
      </c>
      <c r="J38" s="100" t="s">
        <v>539</v>
      </c>
      <c r="K38" s="99" t="s">
        <v>448</v>
      </c>
      <c r="L38" s="100" t="s">
        <v>540</v>
      </c>
      <c r="M38" s="100" t="s">
        <v>541</v>
      </c>
      <c r="N38" s="99" t="s">
        <v>219</v>
      </c>
      <c r="O38" s="99" t="s">
        <v>288</v>
      </c>
      <c r="P38" s="99"/>
      <c r="Q38" s="99"/>
      <c r="R38" s="99"/>
      <c r="S38" s="99">
        <v>1</v>
      </c>
      <c r="T38" s="99">
        <v>1</v>
      </c>
      <c r="U38" s="99">
        <v>1</v>
      </c>
      <c r="V38" s="99">
        <v>1</v>
      </c>
      <c r="W38" s="99">
        <v>1</v>
      </c>
      <c r="X38" s="99">
        <v>1</v>
      </c>
      <c r="Y38" s="99">
        <v>1</v>
      </c>
      <c r="Z38" s="99" t="s">
        <v>598</v>
      </c>
      <c r="AA38" s="99"/>
      <c r="AB38" s="99"/>
      <c r="AC38" s="99"/>
      <c r="AD38" s="99"/>
      <c r="AE38" s="99"/>
      <c r="AF38" s="99"/>
      <c r="AG38" s="109"/>
    </row>
    <row r="39" spans="1:33" ht="118.8">
      <c r="A39" s="80"/>
      <c r="B39" s="99">
        <f t="shared" si="0"/>
        <v>30</v>
      </c>
      <c r="C39" s="108" t="s">
        <v>536</v>
      </c>
      <c r="D39" s="99" t="s">
        <v>160</v>
      </c>
      <c r="E39" s="99"/>
      <c r="F39" s="99" t="s">
        <v>339</v>
      </c>
      <c r="G39" s="99" t="s">
        <v>213</v>
      </c>
      <c r="H39" s="99" t="s">
        <v>445</v>
      </c>
      <c r="I39" s="100" t="s">
        <v>670</v>
      </c>
      <c r="J39" s="100" t="s">
        <v>539</v>
      </c>
      <c r="K39" s="99" t="s">
        <v>448</v>
      </c>
      <c r="L39" s="100" t="s">
        <v>542</v>
      </c>
      <c r="M39" s="100" t="s">
        <v>543</v>
      </c>
      <c r="N39" s="99" t="s">
        <v>219</v>
      </c>
      <c r="O39" s="99" t="s">
        <v>288</v>
      </c>
      <c r="P39" s="99"/>
      <c r="Q39" s="99"/>
      <c r="R39" s="99"/>
      <c r="S39" s="99">
        <v>1</v>
      </c>
      <c r="T39" s="99">
        <v>1</v>
      </c>
      <c r="U39" s="99">
        <v>1</v>
      </c>
      <c r="V39" s="99">
        <v>1</v>
      </c>
      <c r="W39" s="99">
        <v>1</v>
      </c>
      <c r="X39" s="99">
        <v>1</v>
      </c>
      <c r="Y39" s="99">
        <v>1</v>
      </c>
      <c r="Z39" s="99" t="s">
        <v>598</v>
      </c>
      <c r="AA39" s="99"/>
      <c r="AB39" s="99"/>
      <c r="AC39" s="99"/>
      <c r="AD39" s="99"/>
      <c r="AE39" s="99"/>
      <c r="AF39" s="99"/>
      <c r="AG39" s="109"/>
    </row>
    <row r="40" spans="1:33" ht="145.19999999999999">
      <c r="A40" s="80"/>
      <c r="B40" s="99">
        <f t="shared" si="0"/>
        <v>31</v>
      </c>
      <c r="C40" s="108" t="s">
        <v>544</v>
      </c>
      <c r="D40" s="99" t="s">
        <v>161</v>
      </c>
      <c r="E40" s="99"/>
      <c r="F40" s="99" t="s">
        <v>348</v>
      </c>
      <c r="G40" s="99" t="s">
        <v>213</v>
      </c>
      <c r="H40" s="99" t="s">
        <v>545</v>
      </c>
      <c r="I40" s="100" t="s">
        <v>203</v>
      </c>
      <c r="J40" s="100" t="s">
        <v>546</v>
      </c>
      <c r="K40" s="99" t="s">
        <v>448</v>
      </c>
      <c r="L40" s="100" t="s">
        <v>547</v>
      </c>
      <c r="M40" s="100" t="s">
        <v>548</v>
      </c>
      <c r="N40" s="99" t="s">
        <v>219</v>
      </c>
      <c r="O40" s="99" t="s">
        <v>288</v>
      </c>
      <c r="P40" s="99"/>
      <c r="Q40" s="99"/>
      <c r="R40" s="99"/>
      <c r="S40" s="99">
        <v>1</v>
      </c>
      <c r="T40" s="99">
        <v>1</v>
      </c>
      <c r="U40" s="99">
        <v>1</v>
      </c>
      <c r="V40" s="99">
        <v>1</v>
      </c>
      <c r="W40" s="99">
        <v>1</v>
      </c>
      <c r="X40" s="99">
        <v>1</v>
      </c>
      <c r="Y40" s="99">
        <v>1</v>
      </c>
      <c r="Z40" s="99" t="s">
        <v>598</v>
      </c>
      <c r="AA40" s="99"/>
      <c r="AB40" s="99"/>
      <c r="AC40" s="99"/>
      <c r="AD40" s="99"/>
      <c r="AE40" s="99"/>
      <c r="AF40" s="99"/>
      <c r="AG40" s="109"/>
    </row>
    <row r="41" spans="1:33" ht="184.8">
      <c r="A41" s="80"/>
      <c r="B41" s="99">
        <f t="shared" si="0"/>
        <v>32</v>
      </c>
      <c r="C41" s="108" t="s">
        <v>549</v>
      </c>
      <c r="D41" s="99" t="s">
        <v>162</v>
      </c>
      <c r="E41" s="99"/>
      <c r="F41" s="99" t="s">
        <v>356</v>
      </c>
      <c r="G41" s="99" t="s">
        <v>213</v>
      </c>
      <c r="H41" s="99" t="s">
        <v>445</v>
      </c>
      <c r="I41" s="100" t="s">
        <v>671</v>
      </c>
      <c r="J41" s="100" t="s">
        <v>539</v>
      </c>
      <c r="K41" s="99" t="s">
        <v>448</v>
      </c>
      <c r="L41" s="100" t="s">
        <v>550</v>
      </c>
      <c r="M41" s="100" t="s">
        <v>551</v>
      </c>
      <c r="N41" s="99" t="s">
        <v>219</v>
      </c>
      <c r="O41" s="99" t="s">
        <v>288</v>
      </c>
      <c r="P41" s="99"/>
      <c r="Q41" s="99"/>
      <c r="R41" s="99"/>
      <c r="S41" s="99">
        <v>1</v>
      </c>
      <c r="T41" s="99">
        <v>1</v>
      </c>
      <c r="U41" s="99">
        <v>1</v>
      </c>
      <c r="V41" s="99">
        <v>1</v>
      </c>
      <c r="W41" s="99">
        <v>1</v>
      </c>
      <c r="X41" s="99">
        <v>1</v>
      </c>
      <c r="Y41" s="99">
        <v>1</v>
      </c>
      <c r="Z41" s="99" t="s">
        <v>598</v>
      </c>
      <c r="AA41" s="99"/>
      <c r="AB41" s="99"/>
      <c r="AC41" s="99"/>
      <c r="AD41" s="99"/>
      <c r="AE41" s="99"/>
      <c r="AF41" s="99"/>
      <c r="AG41" s="109"/>
    </row>
    <row r="42" spans="1:33" ht="184.8">
      <c r="A42" s="80"/>
      <c r="B42" s="99">
        <f t="shared" si="0"/>
        <v>33</v>
      </c>
      <c r="C42" s="108" t="s">
        <v>549</v>
      </c>
      <c r="D42" s="99" t="s">
        <v>162</v>
      </c>
      <c r="E42" s="99"/>
      <c r="F42" s="99" t="s">
        <v>357</v>
      </c>
      <c r="G42" s="99" t="s">
        <v>213</v>
      </c>
      <c r="H42" s="99" t="s">
        <v>471</v>
      </c>
      <c r="I42" s="100" t="s">
        <v>672</v>
      </c>
      <c r="J42" s="100" t="s">
        <v>552</v>
      </c>
      <c r="K42" s="99" t="s">
        <v>448</v>
      </c>
      <c r="L42" s="100" t="s">
        <v>553</v>
      </c>
      <c r="M42" s="100" t="s">
        <v>554</v>
      </c>
      <c r="N42" s="99" t="s">
        <v>219</v>
      </c>
      <c r="O42" s="99" t="s">
        <v>288</v>
      </c>
      <c r="P42" s="99"/>
      <c r="Q42" s="99"/>
      <c r="R42" s="99"/>
      <c r="S42" s="99">
        <v>1</v>
      </c>
      <c r="T42" s="99">
        <v>1</v>
      </c>
      <c r="U42" s="99">
        <v>1</v>
      </c>
      <c r="V42" s="99">
        <v>1</v>
      </c>
      <c r="W42" s="99">
        <v>1</v>
      </c>
      <c r="X42" s="99">
        <v>1</v>
      </c>
      <c r="Y42" s="99">
        <v>1</v>
      </c>
      <c r="Z42" s="99" t="s">
        <v>598</v>
      </c>
      <c r="AA42" s="99"/>
      <c r="AB42" s="99"/>
      <c r="AC42" s="99"/>
      <c r="AD42" s="99"/>
      <c r="AE42" s="99"/>
      <c r="AF42" s="99"/>
      <c r="AG42" s="109"/>
    </row>
    <row r="43" spans="1:33" ht="92.4">
      <c r="B43" s="99">
        <f t="shared" si="0"/>
        <v>34</v>
      </c>
      <c r="C43" s="108" t="s">
        <v>555</v>
      </c>
      <c r="D43" s="99" t="s">
        <v>163</v>
      </c>
      <c r="E43" s="99"/>
      <c r="F43" s="99" t="s">
        <v>358</v>
      </c>
      <c r="G43" s="99" t="s">
        <v>213</v>
      </c>
      <c r="H43" s="99" t="s">
        <v>445</v>
      </c>
      <c r="I43" s="100" t="s">
        <v>673</v>
      </c>
      <c r="J43" s="100" t="s">
        <v>556</v>
      </c>
      <c r="K43" s="99" t="s">
        <v>448</v>
      </c>
      <c r="L43" s="100" t="s">
        <v>557</v>
      </c>
      <c r="M43" s="100" t="s">
        <v>558</v>
      </c>
      <c r="N43" s="99" t="s">
        <v>220</v>
      </c>
      <c r="O43" s="99" t="s">
        <v>288</v>
      </c>
      <c r="P43" s="99"/>
      <c r="Q43" s="99"/>
      <c r="R43" s="99"/>
      <c r="S43" s="99">
        <v>1</v>
      </c>
      <c r="T43" s="99">
        <v>1</v>
      </c>
      <c r="U43" s="99">
        <v>1</v>
      </c>
      <c r="V43" s="99">
        <v>1</v>
      </c>
      <c r="W43" s="99">
        <v>1</v>
      </c>
      <c r="X43" s="99">
        <v>1</v>
      </c>
      <c r="Y43" s="99">
        <v>1</v>
      </c>
      <c r="Z43" s="99" t="s">
        <v>598</v>
      </c>
      <c r="AA43" s="99"/>
      <c r="AB43" s="99"/>
      <c r="AC43" s="99"/>
      <c r="AD43" s="99"/>
      <c r="AE43" s="99"/>
      <c r="AF43" s="99"/>
      <c r="AG43" s="109"/>
    </row>
    <row r="44" spans="1:33" ht="92.4">
      <c r="B44" s="99">
        <f t="shared" si="0"/>
        <v>35</v>
      </c>
      <c r="C44" s="108" t="s">
        <v>555</v>
      </c>
      <c r="D44" s="99" t="s">
        <v>163</v>
      </c>
      <c r="E44" s="99"/>
      <c r="F44" s="99" t="s">
        <v>359</v>
      </c>
      <c r="G44" s="99" t="s">
        <v>213</v>
      </c>
      <c r="H44" s="99" t="s">
        <v>445</v>
      </c>
      <c r="I44" s="100" t="s">
        <v>674</v>
      </c>
      <c r="J44" s="100" t="s">
        <v>556</v>
      </c>
      <c r="K44" s="99" t="s">
        <v>448</v>
      </c>
      <c r="L44" s="100" t="s">
        <v>559</v>
      </c>
      <c r="M44" s="100" t="s">
        <v>560</v>
      </c>
      <c r="N44" s="99" t="s">
        <v>220</v>
      </c>
      <c r="O44" s="99" t="s">
        <v>288</v>
      </c>
      <c r="P44" s="99"/>
      <c r="Q44" s="99"/>
      <c r="R44" s="99"/>
      <c r="S44" s="99">
        <v>1</v>
      </c>
      <c r="T44" s="99">
        <v>1</v>
      </c>
      <c r="U44" s="99">
        <v>1</v>
      </c>
      <c r="V44" s="99">
        <v>1</v>
      </c>
      <c r="W44" s="99">
        <v>1</v>
      </c>
      <c r="X44" s="99">
        <v>1</v>
      </c>
      <c r="Y44" s="99">
        <v>1</v>
      </c>
      <c r="Z44" s="99" t="s">
        <v>598</v>
      </c>
      <c r="AA44" s="99"/>
      <c r="AB44" s="99"/>
      <c r="AC44" s="99"/>
      <c r="AD44" s="99"/>
      <c r="AE44" s="99"/>
      <c r="AF44" s="99"/>
      <c r="AG44" s="109"/>
    </row>
    <row r="45" spans="1:33" ht="92.4">
      <c r="B45" s="99">
        <f t="shared" si="0"/>
        <v>36</v>
      </c>
      <c r="C45" s="108" t="s">
        <v>555</v>
      </c>
      <c r="D45" s="99" t="s">
        <v>163</v>
      </c>
      <c r="E45" s="99"/>
      <c r="F45" s="99" t="s">
        <v>360</v>
      </c>
      <c r="G45" s="99" t="s">
        <v>213</v>
      </c>
      <c r="H45" s="99" t="s">
        <v>545</v>
      </c>
      <c r="I45" s="100" t="s">
        <v>675</v>
      </c>
      <c r="J45" s="100" t="s">
        <v>556</v>
      </c>
      <c r="K45" s="99" t="s">
        <v>448</v>
      </c>
      <c r="L45" s="100" t="s">
        <v>561</v>
      </c>
      <c r="M45" s="100" t="s">
        <v>562</v>
      </c>
      <c r="N45" s="99" t="s">
        <v>220</v>
      </c>
      <c r="O45" s="99" t="s">
        <v>288</v>
      </c>
      <c r="P45" s="99"/>
      <c r="Q45" s="99"/>
      <c r="R45" s="99"/>
      <c r="S45" s="99">
        <v>1</v>
      </c>
      <c r="T45" s="99">
        <v>1</v>
      </c>
      <c r="U45" s="99">
        <v>1</v>
      </c>
      <c r="V45" s="99">
        <v>1</v>
      </c>
      <c r="W45" s="99">
        <v>1</v>
      </c>
      <c r="X45" s="99">
        <v>1</v>
      </c>
      <c r="Y45" s="99">
        <v>1</v>
      </c>
      <c r="Z45" s="99" t="s">
        <v>598</v>
      </c>
      <c r="AA45" s="99"/>
      <c r="AB45" s="99"/>
      <c r="AC45" s="99"/>
      <c r="AD45" s="99"/>
      <c r="AE45" s="99"/>
      <c r="AF45" s="99"/>
      <c r="AG45" s="109"/>
    </row>
    <row r="46" spans="1:33" ht="105.6">
      <c r="B46" s="99">
        <f t="shared" si="0"/>
        <v>37</v>
      </c>
      <c r="C46" s="108" t="s">
        <v>563</v>
      </c>
      <c r="D46" s="99" t="s">
        <v>164</v>
      </c>
      <c r="E46" s="99"/>
      <c r="F46" s="99" t="s">
        <v>362</v>
      </c>
      <c r="G46" s="99" t="s">
        <v>213</v>
      </c>
      <c r="H46" s="99" t="s">
        <v>545</v>
      </c>
      <c r="I46" s="100" t="s">
        <v>676</v>
      </c>
      <c r="J46" s="100" t="s">
        <v>564</v>
      </c>
      <c r="K46" s="99" t="s">
        <v>448</v>
      </c>
      <c r="L46" s="100" t="s">
        <v>565</v>
      </c>
      <c r="M46" s="100" t="s">
        <v>566</v>
      </c>
      <c r="N46" s="99" t="s">
        <v>221</v>
      </c>
      <c r="O46" s="99" t="s">
        <v>288</v>
      </c>
      <c r="P46" s="99"/>
      <c r="Q46" s="99"/>
      <c r="R46" s="99"/>
      <c r="S46" s="99">
        <v>1</v>
      </c>
      <c r="T46" s="99">
        <v>1</v>
      </c>
      <c r="U46" s="99">
        <v>1</v>
      </c>
      <c r="V46" s="99">
        <v>1</v>
      </c>
      <c r="W46" s="99">
        <v>1</v>
      </c>
      <c r="X46" s="99">
        <v>1</v>
      </c>
      <c r="Y46" s="99">
        <v>1</v>
      </c>
      <c r="Z46" s="99" t="s">
        <v>598</v>
      </c>
      <c r="AA46" s="99"/>
      <c r="AB46" s="99"/>
      <c r="AC46" s="99"/>
      <c r="AD46" s="99"/>
      <c r="AE46" s="99"/>
      <c r="AF46" s="99"/>
      <c r="AG46" s="109"/>
    </row>
    <row r="47" spans="1:33" ht="105.6">
      <c r="B47" s="99">
        <f t="shared" si="0"/>
        <v>38</v>
      </c>
      <c r="C47" s="108" t="s">
        <v>563</v>
      </c>
      <c r="D47" s="99" t="s">
        <v>164</v>
      </c>
      <c r="E47" s="99"/>
      <c r="F47" s="99" t="s">
        <v>389</v>
      </c>
      <c r="G47" s="99" t="s">
        <v>213</v>
      </c>
      <c r="H47" s="99" t="s">
        <v>471</v>
      </c>
      <c r="I47" s="100" t="s">
        <v>677</v>
      </c>
      <c r="J47" s="100" t="s">
        <v>567</v>
      </c>
      <c r="K47" s="99" t="s">
        <v>448</v>
      </c>
      <c r="L47" s="100" t="s">
        <v>568</v>
      </c>
      <c r="M47" s="100" t="s">
        <v>569</v>
      </c>
      <c r="N47" s="99" t="s">
        <v>221</v>
      </c>
      <c r="O47" s="99" t="s">
        <v>288</v>
      </c>
      <c r="P47" s="99"/>
      <c r="Q47" s="99"/>
      <c r="R47" s="99"/>
      <c r="S47" s="99">
        <v>1</v>
      </c>
      <c r="T47" s="99">
        <v>1</v>
      </c>
      <c r="U47" s="99">
        <v>1</v>
      </c>
      <c r="V47" s="99">
        <v>1</v>
      </c>
      <c r="W47" s="99">
        <v>1</v>
      </c>
      <c r="X47" s="99">
        <v>1</v>
      </c>
      <c r="Y47" s="99">
        <v>1</v>
      </c>
      <c r="Z47" s="99" t="s">
        <v>598</v>
      </c>
      <c r="AA47" s="99"/>
      <c r="AB47" s="99"/>
      <c r="AC47" s="99"/>
      <c r="AD47" s="99"/>
      <c r="AE47" s="99"/>
      <c r="AF47" s="99"/>
      <c r="AG47" s="109"/>
    </row>
    <row r="48" spans="1:33" ht="105.6">
      <c r="B48" s="99">
        <f t="shared" si="0"/>
        <v>39</v>
      </c>
      <c r="C48" s="108" t="s">
        <v>563</v>
      </c>
      <c r="D48" s="99" t="s">
        <v>164</v>
      </c>
      <c r="E48" s="99"/>
      <c r="F48" s="99" t="s">
        <v>390</v>
      </c>
      <c r="G48" s="99" t="s">
        <v>213</v>
      </c>
      <c r="H48" s="99" t="s">
        <v>456</v>
      </c>
      <c r="I48" s="100" t="s">
        <v>678</v>
      </c>
      <c r="J48" s="100" t="s">
        <v>564</v>
      </c>
      <c r="K48" s="99" t="s">
        <v>448</v>
      </c>
      <c r="L48" s="100" t="s">
        <v>570</v>
      </c>
      <c r="M48" s="100" t="s">
        <v>571</v>
      </c>
      <c r="N48" s="99" t="s">
        <v>221</v>
      </c>
      <c r="O48" s="99" t="s">
        <v>288</v>
      </c>
      <c r="P48" s="99"/>
      <c r="Q48" s="99"/>
      <c r="R48" s="99"/>
      <c r="S48" s="99">
        <v>1</v>
      </c>
      <c r="T48" s="99">
        <v>1</v>
      </c>
      <c r="U48" s="99">
        <v>1</v>
      </c>
      <c r="V48" s="99">
        <v>1</v>
      </c>
      <c r="W48" s="99">
        <v>1</v>
      </c>
      <c r="X48" s="99">
        <v>1</v>
      </c>
      <c r="Y48" s="99">
        <v>1</v>
      </c>
      <c r="Z48" s="99" t="s">
        <v>598</v>
      </c>
      <c r="AA48" s="99"/>
      <c r="AB48" s="99"/>
      <c r="AC48" s="99"/>
      <c r="AD48" s="99"/>
      <c r="AE48" s="99"/>
      <c r="AF48" s="99"/>
      <c r="AG48" s="109"/>
    </row>
    <row r="49" spans="2:33" ht="105.6">
      <c r="B49" s="99">
        <f t="shared" si="0"/>
        <v>40</v>
      </c>
      <c r="C49" s="108" t="s">
        <v>563</v>
      </c>
      <c r="D49" s="99" t="s">
        <v>164</v>
      </c>
      <c r="E49" s="99"/>
      <c r="F49" s="99" t="s">
        <v>391</v>
      </c>
      <c r="G49" s="99" t="s">
        <v>213</v>
      </c>
      <c r="H49" s="99" t="s">
        <v>456</v>
      </c>
      <c r="I49" s="100" t="s">
        <v>679</v>
      </c>
      <c r="J49" s="100" t="s">
        <v>572</v>
      </c>
      <c r="K49" s="99" t="s">
        <v>448</v>
      </c>
      <c r="L49" s="100" t="s">
        <v>573</v>
      </c>
      <c r="M49" s="100" t="s">
        <v>574</v>
      </c>
      <c r="N49" s="99" t="s">
        <v>221</v>
      </c>
      <c r="O49" s="99" t="s">
        <v>288</v>
      </c>
      <c r="P49" s="99"/>
      <c r="Q49" s="99"/>
      <c r="R49" s="99"/>
      <c r="S49" s="99">
        <v>1</v>
      </c>
      <c r="T49" s="99">
        <v>1</v>
      </c>
      <c r="U49" s="99">
        <v>1</v>
      </c>
      <c r="V49" s="99">
        <v>1</v>
      </c>
      <c r="W49" s="99">
        <v>1</v>
      </c>
      <c r="X49" s="99">
        <v>1</v>
      </c>
      <c r="Y49" s="99">
        <v>1</v>
      </c>
      <c r="Z49" s="99" t="s">
        <v>598</v>
      </c>
      <c r="AA49" s="99"/>
      <c r="AB49" s="99"/>
      <c r="AC49" s="99"/>
      <c r="AD49" s="99"/>
      <c r="AE49" s="99"/>
      <c r="AF49" s="99"/>
      <c r="AG49" s="109"/>
    </row>
    <row r="50" spans="2:33" ht="92.4">
      <c r="B50" s="99">
        <f t="shared" si="0"/>
        <v>41</v>
      </c>
      <c r="C50" s="108" t="s">
        <v>575</v>
      </c>
      <c r="D50" s="99" t="s">
        <v>165</v>
      </c>
      <c r="E50" s="99"/>
      <c r="F50" s="99" t="s">
        <v>392</v>
      </c>
      <c r="G50" s="99" t="s">
        <v>213</v>
      </c>
      <c r="H50" s="99" t="s">
        <v>471</v>
      </c>
      <c r="I50" s="100" t="s">
        <v>680</v>
      </c>
      <c r="J50" s="100" t="s">
        <v>576</v>
      </c>
      <c r="K50" s="99" t="s">
        <v>448</v>
      </c>
      <c r="L50" s="100" t="s">
        <v>577</v>
      </c>
      <c r="M50" s="100" t="s">
        <v>578</v>
      </c>
      <c r="N50" s="99" t="s">
        <v>222</v>
      </c>
      <c r="O50" s="99" t="s">
        <v>288</v>
      </c>
      <c r="P50" s="99"/>
      <c r="Q50" s="99"/>
      <c r="R50" s="99"/>
      <c r="S50" s="99">
        <v>1</v>
      </c>
      <c r="T50" s="99">
        <v>1</v>
      </c>
      <c r="U50" s="99">
        <v>1</v>
      </c>
      <c r="V50" s="99">
        <v>1</v>
      </c>
      <c r="W50" s="99">
        <v>1</v>
      </c>
      <c r="X50" s="99">
        <v>1</v>
      </c>
      <c r="Y50" s="99">
        <v>1</v>
      </c>
      <c r="Z50" s="99" t="s">
        <v>598</v>
      </c>
      <c r="AA50" s="99"/>
      <c r="AB50" s="99"/>
      <c r="AC50" s="99"/>
      <c r="AD50" s="99"/>
      <c r="AE50" s="99"/>
      <c r="AF50" s="99"/>
      <c r="AG50" s="109"/>
    </row>
    <row r="51" spans="2:33" ht="79.2">
      <c r="B51" s="99">
        <f t="shared" si="0"/>
        <v>42</v>
      </c>
      <c r="C51" s="108" t="s">
        <v>575</v>
      </c>
      <c r="D51" s="99" t="s">
        <v>165</v>
      </c>
      <c r="E51" s="99"/>
      <c r="F51" s="99" t="s">
        <v>393</v>
      </c>
      <c r="G51" s="99" t="s">
        <v>213</v>
      </c>
      <c r="H51" s="99" t="s">
        <v>471</v>
      </c>
      <c r="I51" s="100" t="s">
        <v>681</v>
      </c>
      <c r="J51" s="100" t="s">
        <v>579</v>
      </c>
      <c r="K51" s="99" t="s">
        <v>448</v>
      </c>
      <c r="L51" s="100" t="s">
        <v>580</v>
      </c>
      <c r="M51" s="100" t="s">
        <v>581</v>
      </c>
      <c r="N51" s="99" t="s">
        <v>222</v>
      </c>
      <c r="O51" s="99" t="s">
        <v>288</v>
      </c>
      <c r="P51" s="99"/>
      <c r="Q51" s="99"/>
      <c r="R51" s="99"/>
      <c r="S51" s="99">
        <v>1</v>
      </c>
      <c r="T51" s="99">
        <v>1</v>
      </c>
      <c r="U51" s="99">
        <v>1</v>
      </c>
      <c r="V51" s="99">
        <v>1</v>
      </c>
      <c r="W51" s="99">
        <v>1</v>
      </c>
      <c r="X51" s="99">
        <v>1</v>
      </c>
      <c r="Y51" s="99">
        <v>1</v>
      </c>
      <c r="Z51" s="99" t="s">
        <v>598</v>
      </c>
      <c r="AA51" s="99"/>
      <c r="AB51" s="99"/>
      <c r="AC51" s="99"/>
      <c r="AD51" s="99"/>
      <c r="AE51" s="99"/>
      <c r="AF51" s="99"/>
      <c r="AG51" s="109"/>
    </row>
    <row r="52" spans="2:33" ht="66">
      <c r="B52" s="99">
        <f t="shared" si="0"/>
        <v>43</v>
      </c>
      <c r="C52" s="108" t="s">
        <v>582</v>
      </c>
      <c r="D52" s="99" t="s">
        <v>166</v>
      </c>
      <c r="E52" s="99"/>
      <c r="F52" s="99" t="s">
        <v>394</v>
      </c>
      <c r="G52" s="99" t="s">
        <v>213</v>
      </c>
      <c r="H52" s="99" t="s">
        <v>456</v>
      </c>
      <c r="I52" s="100" t="s">
        <v>682</v>
      </c>
      <c r="J52" s="100" t="s">
        <v>583</v>
      </c>
      <c r="K52" s="99" t="s">
        <v>448</v>
      </c>
      <c r="L52" s="100" t="s">
        <v>584</v>
      </c>
      <c r="M52" s="100" t="s">
        <v>585</v>
      </c>
      <c r="N52" s="99" t="s">
        <v>222</v>
      </c>
      <c r="O52" s="99" t="s">
        <v>288</v>
      </c>
      <c r="P52" s="99"/>
      <c r="Q52" s="99"/>
      <c r="R52" s="99"/>
      <c r="S52" s="99">
        <v>1</v>
      </c>
      <c r="T52" s="99">
        <v>1</v>
      </c>
      <c r="U52" s="99">
        <v>1</v>
      </c>
      <c r="V52" s="99">
        <v>1</v>
      </c>
      <c r="W52" s="99">
        <v>1</v>
      </c>
      <c r="X52" s="99">
        <v>1</v>
      </c>
      <c r="Y52" s="99">
        <v>1</v>
      </c>
      <c r="Z52" s="99" t="s">
        <v>598</v>
      </c>
      <c r="AA52" s="99"/>
      <c r="AB52" s="99"/>
      <c r="AC52" s="99"/>
      <c r="AD52" s="99"/>
      <c r="AE52" s="99"/>
      <c r="AF52" s="99"/>
      <c r="AG52" s="109"/>
    </row>
    <row r="53" spans="2:33" ht="79.2">
      <c r="B53" s="99">
        <f t="shared" si="0"/>
        <v>44</v>
      </c>
      <c r="C53" s="108" t="s">
        <v>582</v>
      </c>
      <c r="D53" s="99" t="s">
        <v>166</v>
      </c>
      <c r="E53" s="99"/>
      <c r="F53" s="99" t="s">
        <v>395</v>
      </c>
      <c r="G53" s="99" t="s">
        <v>213</v>
      </c>
      <c r="H53" s="99" t="s">
        <v>471</v>
      </c>
      <c r="I53" s="100" t="s">
        <v>683</v>
      </c>
      <c r="J53" s="100" t="s">
        <v>586</v>
      </c>
      <c r="K53" s="99" t="s">
        <v>448</v>
      </c>
      <c r="L53" s="100" t="s">
        <v>587</v>
      </c>
      <c r="M53" s="100" t="s">
        <v>588</v>
      </c>
      <c r="N53" s="99" t="s">
        <v>222</v>
      </c>
      <c r="O53" s="99" t="s">
        <v>288</v>
      </c>
      <c r="P53" s="99"/>
      <c r="Q53" s="99"/>
      <c r="R53" s="99"/>
      <c r="S53" s="99">
        <v>1</v>
      </c>
      <c r="T53" s="99">
        <v>1</v>
      </c>
      <c r="U53" s="99">
        <v>1</v>
      </c>
      <c r="V53" s="99">
        <v>1</v>
      </c>
      <c r="W53" s="99">
        <v>1</v>
      </c>
      <c r="X53" s="99">
        <v>1</v>
      </c>
      <c r="Y53" s="99">
        <v>1</v>
      </c>
      <c r="Z53" s="99" t="s">
        <v>598</v>
      </c>
      <c r="AA53" s="99"/>
      <c r="AB53" s="99"/>
      <c r="AC53" s="99"/>
      <c r="AD53" s="99"/>
      <c r="AE53" s="99"/>
      <c r="AF53" s="99"/>
      <c r="AG53" s="109"/>
    </row>
    <row r="54" spans="2:33" ht="145.80000000000001" customHeight="1">
      <c r="B54" s="98">
        <f t="shared" ref="B54:B103" si="1">IF(ISBLANK($D54),"",ROW()-9)</f>
        <v>45</v>
      </c>
      <c r="C54" s="108" t="s">
        <v>645</v>
      </c>
      <c r="D54" s="98" t="s">
        <v>167</v>
      </c>
      <c r="E54" s="98"/>
      <c r="F54" s="99" t="s">
        <v>396</v>
      </c>
      <c r="G54" s="98" t="s">
        <v>213</v>
      </c>
      <c r="H54" s="99" t="s">
        <v>251</v>
      </c>
      <c r="I54" s="100" t="s">
        <v>257</v>
      </c>
      <c r="J54" s="101" t="s">
        <v>403</v>
      </c>
      <c r="K54" s="99"/>
      <c r="L54" s="101" t="s">
        <v>243</v>
      </c>
      <c r="M54" s="101" t="s">
        <v>241</v>
      </c>
      <c r="N54" s="98" t="s">
        <v>223</v>
      </c>
      <c r="O54" s="99" t="s">
        <v>288</v>
      </c>
      <c r="P54" s="98"/>
      <c r="Q54" s="98"/>
      <c r="R54" s="98"/>
      <c r="S54" s="98">
        <v>1</v>
      </c>
      <c r="T54" s="98">
        <v>1</v>
      </c>
      <c r="U54" s="98">
        <v>1</v>
      </c>
      <c r="V54" s="98">
        <v>1</v>
      </c>
      <c r="W54" s="98">
        <v>1</v>
      </c>
      <c r="X54" s="98">
        <v>1</v>
      </c>
      <c r="Y54" s="98">
        <v>1</v>
      </c>
      <c r="Z54" s="98" t="s">
        <v>325</v>
      </c>
      <c r="AA54" s="98"/>
      <c r="AB54" s="98"/>
      <c r="AC54" s="98"/>
      <c r="AD54" s="98"/>
      <c r="AE54" s="98"/>
      <c r="AF54" s="98"/>
      <c r="AG54" s="102"/>
    </row>
    <row r="55" spans="2:33" ht="145.80000000000001" customHeight="1">
      <c r="B55" s="98">
        <f t="shared" si="1"/>
        <v>46</v>
      </c>
      <c r="C55" s="108" t="s">
        <v>645</v>
      </c>
      <c r="D55" s="98" t="s">
        <v>167</v>
      </c>
      <c r="E55" s="98"/>
      <c r="F55" s="99" t="s">
        <v>397</v>
      </c>
      <c r="G55" s="98" t="s">
        <v>213</v>
      </c>
      <c r="H55" s="99" t="s">
        <v>251</v>
      </c>
      <c r="I55" s="105" t="s">
        <v>256</v>
      </c>
      <c r="J55" s="101" t="s">
        <v>403</v>
      </c>
      <c r="K55" s="99"/>
      <c r="L55" s="101" t="s">
        <v>242</v>
      </c>
      <c r="M55" s="101" t="s">
        <v>244</v>
      </c>
      <c r="N55" s="98" t="s">
        <v>223</v>
      </c>
      <c r="O55" s="99" t="s">
        <v>288</v>
      </c>
      <c r="P55" s="98"/>
      <c r="Q55" s="98"/>
      <c r="R55" s="98"/>
      <c r="S55" s="98">
        <v>1</v>
      </c>
      <c r="T55" s="98">
        <v>1</v>
      </c>
      <c r="U55" s="98">
        <v>1</v>
      </c>
      <c r="V55" s="98">
        <v>1</v>
      </c>
      <c r="W55" s="98">
        <v>1</v>
      </c>
      <c r="X55" s="98">
        <v>1</v>
      </c>
      <c r="Y55" s="98">
        <v>1</v>
      </c>
      <c r="Z55" s="98" t="s">
        <v>325</v>
      </c>
      <c r="AA55" s="98"/>
      <c r="AB55" s="98"/>
      <c r="AC55" s="98"/>
      <c r="AD55" s="98"/>
      <c r="AE55" s="98"/>
      <c r="AF55" s="98"/>
      <c r="AG55" s="102"/>
    </row>
    <row r="56" spans="2:33" ht="131.55000000000001" customHeight="1">
      <c r="B56" s="98">
        <f t="shared" si="1"/>
        <v>47</v>
      </c>
      <c r="C56" s="108" t="s">
        <v>645</v>
      </c>
      <c r="D56" s="98" t="s">
        <v>167</v>
      </c>
      <c r="E56" s="98"/>
      <c r="F56" s="99" t="s">
        <v>398</v>
      </c>
      <c r="G56" s="98" t="s">
        <v>213</v>
      </c>
      <c r="H56" s="99" t="s">
        <v>251</v>
      </c>
      <c r="I56" s="100" t="s">
        <v>254</v>
      </c>
      <c r="J56" s="101" t="s">
        <v>403</v>
      </c>
      <c r="K56" s="99"/>
      <c r="L56" s="101" t="s">
        <v>245</v>
      </c>
      <c r="M56" s="101" t="s">
        <v>246</v>
      </c>
      <c r="N56" s="98" t="s">
        <v>223</v>
      </c>
      <c r="O56" s="99" t="s">
        <v>288</v>
      </c>
      <c r="P56" s="98"/>
      <c r="Q56" s="98"/>
      <c r="R56" s="98"/>
      <c r="S56" s="98">
        <v>1</v>
      </c>
      <c r="T56" s="98">
        <v>1</v>
      </c>
      <c r="U56" s="98">
        <v>1</v>
      </c>
      <c r="V56" s="98">
        <v>1</v>
      </c>
      <c r="W56" s="98">
        <v>1</v>
      </c>
      <c r="X56" s="98">
        <v>1</v>
      </c>
      <c r="Y56" s="98">
        <v>1</v>
      </c>
      <c r="Z56" s="98" t="s">
        <v>325</v>
      </c>
      <c r="AA56" s="98"/>
      <c r="AB56" s="98"/>
      <c r="AC56" s="98"/>
      <c r="AD56" s="98"/>
      <c r="AE56" s="98"/>
      <c r="AF56" s="98"/>
      <c r="AG56" s="102"/>
    </row>
    <row r="57" spans="2:33" ht="145.80000000000001" customHeight="1">
      <c r="B57" s="98">
        <f t="shared" si="1"/>
        <v>48</v>
      </c>
      <c r="C57" s="108" t="s">
        <v>645</v>
      </c>
      <c r="D57" s="98" t="s">
        <v>167</v>
      </c>
      <c r="E57" s="98"/>
      <c r="F57" s="99" t="s">
        <v>399</v>
      </c>
      <c r="G57" s="98" t="s">
        <v>213</v>
      </c>
      <c r="H57" s="99" t="s">
        <v>251</v>
      </c>
      <c r="I57" s="100" t="s">
        <v>255</v>
      </c>
      <c r="J57" s="101" t="s">
        <v>403</v>
      </c>
      <c r="K57" s="99"/>
      <c r="L57" s="101" t="s">
        <v>247</v>
      </c>
      <c r="M57" s="101" t="s">
        <v>248</v>
      </c>
      <c r="N57" s="98" t="s">
        <v>223</v>
      </c>
      <c r="O57" s="99" t="s">
        <v>288</v>
      </c>
      <c r="P57" s="98"/>
      <c r="Q57" s="98"/>
      <c r="R57" s="98"/>
      <c r="S57" s="98">
        <v>1</v>
      </c>
      <c r="T57" s="98">
        <v>1</v>
      </c>
      <c r="U57" s="98">
        <v>1</v>
      </c>
      <c r="V57" s="98">
        <v>1</v>
      </c>
      <c r="W57" s="98">
        <v>1</v>
      </c>
      <c r="X57" s="98">
        <v>1</v>
      </c>
      <c r="Y57" s="98">
        <v>1</v>
      </c>
      <c r="Z57" s="98" t="s">
        <v>325</v>
      </c>
      <c r="AA57" s="98"/>
      <c r="AB57" s="98"/>
      <c r="AC57" s="98"/>
      <c r="AD57" s="98"/>
      <c r="AE57" s="98"/>
      <c r="AF57" s="98"/>
      <c r="AG57" s="102"/>
    </row>
    <row r="58" spans="2:33" ht="66">
      <c r="B58" s="98">
        <f t="shared" si="1"/>
        <v>49</v>
      </c>
      <c r="C58" s="108" t="s">
        <v>646</v>
      </c>
      <c r="D58" s="99" t="s">
        <v>168</v>
      </c>
      <c r="E58" s="98"/>
      <c r="F58" s="99" t="s">
        <v>400</v>
      </c>
      <c r="G58" s="98" t="s">
        <v>213</v>
      </c>
      <c r="H58" s="99" t="s">
        <v>252</v>
      </c>
      <c r="I58" s="105" t="s">
        <v>253</v>
      </c>
      <c r="J58" s="101" t="s">
        <v>404</v>
      </c>
      <c r="K58" s="99"/>
      <c r="L58" s="101" t="s">
        <v>258</v>
      </c>
      <c r="M58" s="101" t="s">
        <v>259</v>
      </c>
      <c r="N58" s="98" t="s">
        <v>224</v>
      </c>
      <c r="O58" s="99" t="s">
        <v>288</v>
      </c>
      <c r="P58" s="98"/>
      <c r="Q58" s="98"/>
      <c r="R58" s="98"/>
      <c r="S58" s="98">
        <v>1</v>
      </c>
      <c r="T58" s="98">
        <v>1</v>
      </c>
      <c r="U58" s="98">
        <v>1</v>
      </c>
      <c r="V58" s="98">
        <v>1</v>
      </c>
      <c r="W58" s="98">
        <v>1</v>
      </c>
      <c r="X58" s="98">
        <v>1</v>
      </c>
      <c r="Y58" s="98">
        <v>1</v>
      </c>
      <c r="Z58" s="98" t="s">
        <v>325</v>
      </c>
      <c r="AA58" s="98"/>
      <c r="AB58" s="98"/>
      <c r="AC58" s="98"/>
      <c r="AD58" s="98"/>
      <c r="AE58" s="98"/>
      <c r="AF58" s="98"/>
      <c r="AG58" s="102"/>
    </row>
    <row r="59" spans="2:33" ht="105.6">
      <c r="B59" s="98">
        <f t="shared" si="1"/>
        <v>50</v>
      </c>
      <c r="C59" s="108" t="s">
        <v>646</v>
      </c>
      <c r="D59" s="99" t="s">
        <v>168</v>
      </c>
      <c r="E59" s="98"/>
      <c r="F59" s="99" t="s">
        <v>401</v>
      </c>
      <c r="G59" s="98" t="s">
        <v>213</v>
      </c>
      <c r="H59" s="99" t="s">
        <v>252</v>
      </c>
      <c r="I59" s="105" t="s">
        <v>420</v>
      </c>
      <c r="J59" s="100" t="s">
        <v>404</v>
      </c>
      <c r="K59" s="99"/>
      <c r="L59" s="101" t="s">
        <v>262</v>
      </c>
      <c r="M59" s="101" t="s">
        <v>260</v>
      </c>
      <c r="N59" s="98" t="s">
        <v>224</v>
      </c>
      <c r="O59" s="99" t="s">
        <v>288</v>
      </c>
      <c r="P59" s="98"/>
      <c r="Q59" s="98"/>
      <c r="R59" s="98"/>
      <c r="S59" s="98">
        <v>1</v>
      </c>
      <c r="T59" s="98">
        <v>1</v>
      </c>
      <c r="U59" s="98">
        <v>1</v>
      </c>
      <c r="V59" s="98">
        <v>1</v>
      </c>
      <c r="W59" s="98">
        <v>1</v>
      </c>
      <c r="X59" s="98">
        <v>1</v>
      </c>
      <c r="Y59" s="98">
        <v>1</v>
      </c>
      <c r="Z59" s="98" t="s">
        <v>325</v>
      </c>
      <c r="AA59" s="98"/>
      <c r="AB59" s="98"/>
      <c r="AC59" s="98"/>
      <c r="AD59" s="98"/>
      <c r="AE59" s="98"/>
      <c r="AF59" s="98"/>
      <c r="AG59" s="102"/>
    </row>
    <row r="60" spans="2:33" ht="105.6">
      <c r="B60" s="98">
        <f t="shared" si="1"/>
        <v>51</v>
      </c>
      <c r="C60" s="108" t="s">
        <v>646</v>
      </c>
      <c r="D60" s="99" t="s">
        <v>168</v>
      </c>
      <c r="E60" s="98"/>
      <c r="F60" s="99" t="s">
        <v>402</v>
      </c>
      <c r="G60" s="98" t="s">
        <v>213</v>
      </c>
      <c r="H60" s="99" t="s">
        <v>252</v>
      </c>
      <c r="I60" s="105" t="s">
        <v>421</v>
      </c>
      <c r="J60" s="101" t="s">
        <v>404</v>
      </c>
      <c r="K60" s="99"/>
      <c r="L60" s="101" t="s">
        <v>261</v>
      </c>
      <c r="M60" s="101" t="s">
        <v>260</v>
      </c>
      <c r="N60" s="98" t="s">
        <v>224</v>
      </c>
      <c r="O60" s="99" t="s">
        <v>288</v>
      </c>
      <c r="P60" s="98"/>
      <c r="Q60" s="98"/>
      <c r="R60" s="98"/>
      <c r="S60" s="98">
        <v>1</v>
      </c>
      <c r="T60" s="98">
        <v>1</v>
      </c>
      <c r="U60" s="98">
        <v>1</v>
      </c>
      <c r="V60" s="98">
        <v>1</v>
      </c>
      <c r="W60" s="98">
        <v>1</v>
      </c>
      <c r="X60" s="98">
        <v>1</v>
      </c>
      <c r="Y60" s="98">
        <v>1</v>
      </c>
      <c r="Z60" s="98" t="s">
        <v>325</v>
      </c>
      <c r="AA60" s="98"/>
      <c r="AB60" s="98"/>
      <c r="AC60" s="98"/>
      <c r="AD60" s="98"/>
      <c r="AE60" s="98"/>
      <c r="AF60" s="98"/>
      <c r="AG60" s="102"/>
    </row>
    <row r="61" spans="2:33" ht="118.8">
      <c r="B61" s="98">
        <f t="shared" si="1"/>
        <v>52</v>
      </c>
      <c r="C61" s="108" t="s">
        <v>646</v>
      </c>
      <c r="D61" s="99" t="s">
        <v>168</v>
      </c>
      <c r="E61" s="98"/>
      <c r="F61" s="99" t="s">
        <v>599</v>
      </c>
      <c r="G61" s="98" t="s">
        <v>213</v>
      </c>
      <c r="H61" s="99" t="s">
        <v>252</v>
      </c>
      <c r="I61" s="105" t="s">
        <v>422</v>
      </c>
      <c r="J61" s="101" t="s">
        <v>404</v>
      </c>
      <c r="K61" s="99"/>
      <c r="L61" s="101" t="s">
        <v>263</v>
      </c>
      <c r="M61" s="101" t="s">
        <v>264</v>
      </c>
      <c r="N61" s="98" t="s">
        <v>224</v>
      </c>
      <c r="O61" s="99" t="s">
        <v>288</v>
      </c>
      <c r="P61" s="98"/>
      <c r="Q61" s="98"/>
      <c r="R61" s="98"/>
      <c r="S61" s="98">
        <v>1</v>
      </c>
      <c r="T61" s="98">
        <v>1</v>
      </c>
      <c r="U61" s="98">
        <v>1</v>
      </c>
      <c r="V61" s="98">
        <v>1</v>
      </c>
      <c r="W61" s="98">
        <v>1</v>
      </c>
      <c r="X61" s="98">
        <v>1</v>
      </c>
      <c r="Y61" s="98">
        <v>1</v>
      </c>
      <c r="Z61" s="98" t="s">
        <v>325</v>
      </c>
      <c r="AA61" s="98"/>
      <c r="AB61" s="98"/>
      <c r="AC61" s="98"/>
      <c r="AD61" s="98"/>
      <c r="AE61" s="98"/>
      <c r="AF61" s="98"/>
      <c r="AG61" s="102"/>
    </row>
    <row r="62" spans="2:33" ht="105.6">
      <c r="B62" s="98">
        <f t="shared" si="1"/>
        <v>53</v>
      </c>
      <c r="C62" s="108" t="s">
        <v>647</v>
      </c>
      <c r="D62" s="98" t="s">
        <v>169</v>
      </c>
      <c r="E62" s="98"/>
      <c r="F62" s="99" t="s">
        <v>600</v>
      </c>
      <c r="G62" s="98" t="s">
        <v>213</v>
      </c>
      <c r="H62" s="99" t="s">
        <v>252</v>
      </c>
      <c r="I62" s="105" t="s">
        <v>423</v>
      </c>
      <c r="J62" s="101" t="s">
        <v>404</v>
      </c>
      <c r="K62" s="99"/>
      <c r="L62" s="101" t="s">
        <v>262</v>
      </c>
      <c r="M62" s="101" t="s">
        <v>260</v>
      </c>
      <c r="N62" s="98" t="s">
        <v>224</v>
      </c>
      <c r="O62" s="99" t="s">
        <v>288</v>
      </c>
      <c r="P62" s="98"/>
      <c r="Q62" s="98"/>
      <c r="R62" s="98"/>
      <c r="S62" s="98">
        <v>1</v>
      </c>
      <c r="T62" s="98">
        <v>1</v>
      </c>
      <c r="U62" s="98">
        <v>1</v>
      </c>
      <c r="V62" s="98">
        <v>1</v>
      </c>
      <c r="W62" s="98">
        <v>1</v>
      </c>
      <c r="X62" s="98">
        <v>1</v>
      </c>
      <c r="Y62" s="98">
        <v>1</v>
      </c>
      <c r="Z62" s="98" t="s">
        <v>325</v>
      </c>
      <c r="AA62" s="98"/>
      <c r="AB62" s="98"/>
      <c r="AC62" s="98"/>
      <c r="AD62" s="98"/>
      <c r="AE62" s="98"/>
      <c r="AF62" s="98"/>
      <c r="AG62" s="102"/>
    </row>
    <row r="63" spans="2:33" ht="105.6">
      <c r="B63" s="98">
        <f t="shared" si="1"/>
        <v>54</v>
      </c>
      <c r="C63" s="108" t="s">
        <v>647</v>
      </c>
      <c r="D63" s="98" t="s">
        <v>169</v>
      </c>
      <c r="E63" s="98"/>
      <c r="F63" s="99" t="s">
        <v>601</v>
      </c>
      <c r="G63" s="98" t="s">
        <v>213</v>
      </c>
      <c r="H63" s="99" t="s">
        <v>252</v>
      </c>
      <c r="I63" s="105" t="s">
        <v>424</v>
      </c>
      <c r="J63" s="101" t="s">
        <v>404</v>
      </c>
      <c r="K63" s="99"/>
      <c r="L63" s="101" t="s">
        <v>261</v>
      </c>
      <c r="M63" s="101" t="s">
        <v>260</v>
      </c>
      <c r="N63" s="98" t="s">
        <v>224</v>
      </c>
      <c r="O63" s="99" t="s">
        <v>288</v>
      </c>
      <c r="P63" s="98"/>
      <c r="Q63" s="98"/>
      <c r="R63" s="98"/>
      <c r="S63" s="98">
        <v>1</v>
      </c>
      <c r="T63" s="98">
        <v>1</v>
      </c>
      <c r="U63" s="98">
        <v>0</v>
      </c>
      <c r="V63" s="98">
        <v>0</v>
      </c>
      <c r="W63" s="98">
        <v>0</v>
      </c>
      <c r="X63" s="98">
        <v>0</v>
      </c>
      <c r="Y63" s="98">
        <v>0</v>
      </c>
      <c r="Z63" s="98" t="s">
        <v>325</v>
      </c>
      <c r="AA63" s="98"/>
      <c r="AB63" s="98"/>
      <c r="AC63" s="98"/>
      <c r="AD63" s="98"/>
      <c r="AE63" s="98"/>
      <c r="AF63" s="98"/>
      <c r="AG63" s="102"/>
    </row>
    <row r="64" spans="2:33" ht="118.8">
      <c r="B64" s="98">
        <f t="shared" si="1"/>
        <v>55</v>
      </c>
      <c r="C64" s="108" t="s">
        <v>647</v>
      </c>
      <c r="D64" s="98" t="s">
        <v>169</v>
      </c>
      <c r="E64" s="98"/>
      <c r="F64" s="99" t="s">
        <v>602</v>
      </c>
      <c r="G64" s="98" t="s">
        <v>213</v>
      </c>
      <c r="H64" s="99" t="s">
        <v>252</v>
      </c>
      <c r="I64" s="105" t="s">
        <v>425</v>
      </c>
      <c r="J64" s="101" t="s">
        <v>404</v>
      </c>
      <c r="K64" s="99"/>
      <c r="L64" s="101" t="s">
        <v>263</v>
      </c>
      <c r="M64" s="101" t="s">
        <v>264</v>
      </c>
      <c r="N64" s="98" t="s">
        <v>224</v>
      </c>
      <c r="O64" s="99" t="s">
        <v>288</v>
      </c>
      <c r="P64" s="98"/>
      <c r="Q64" s="98"/>
      <c r="R64" s="98"/>
      <c r="S64" s="98">
        <v>1</v>
      </c>
      <c r="T64" s="98">
        <v>1</v>
      </c>
      <c r="U64" s="98">
        <v>1</v>
      </c>
      <c r="V64" s="98">
        <v>1</v>
      </c>
      <c r="W64" s="98">
        <v>1</v>
      </c>
      <c r="X64" s="98">
        <v>1</v>
      </c>
      <c r="Y64" s="98">
        <v>1</v>
      </c>
      <c r="Z64" s="98" t="s">
        <v>325</v>
      </c>
      <c r="AA64" s="98"/>
      <c r="AB64" s="98"/>
      <c r="AC64" s="98"/>
      <c r="AD64" s="98"/>
      <c r="AE64" s="98"/>
      <c r="AF64" s="98"/>
      <c r="AG64" s="102"/>
    </row>
    <row r="65" spans="2:33" ht="92.4">
      <c r="B65" s="98">
        <f t="shared" si="1"/>
        <v>56</v>
      </c>
      <c r="C65" s="108" t="s">
        <v>648</v>
      </c>
      <c r="D65" s="98" t="s">
        <v>170</v>
      </c>
      <c r="E65" s="98"/>
      <c r="F65" s="99" t="s">
        <v>603</v>
      </c>
      <c r="G65" s="98" t="s">
        <v>213</v>
      </c>
      <c r="H65" s="99"/>
      <c r="I65" s="100" t="s">
        <v>272</v>
      </c>
      <c r="J65" s="101" t="s">
        <v>403</v>
      </c>
      <c r="K65" s="99"/>
      <c r="L65" s="101" t="s">
        <v>274</v>
      </c>
      <c r="M65" s="101" t="s">
        <v>275</v>
      </c>
      <c r="N65" s="98" t="s">
        <v>225</v>
      </c>
      <c r="O65" s="99" t="s">
        <v>592</v>
      </c>
      <c r="P65" s="98"/>
      <c r="Q65" s="98"/>
      <c r="R65" s="98"/>
      <c r="S65" s="98">
        <v>1</v>
      </c>
      <c r="T65" s="98">
        <v>1</v>
      </c>
      <c r="U65" s="98">
        <v>1</v>
      </c>
      <c r="V65" s="98">
        <v>1</v>
      </c>
      <c r="W65" s="98">
        <v>1</v>
      </c>
      <c r="X65" s="98">
        <v>1</v>
      </c>
      <c r="Y65" s="98">
        <v>1</v>
      </c>
      <c r="Z65" s="98" t="s">
        <v>325</v>
      </c>
      <c r="AA65" s="98"/>
      <c r="AB65" s="98"/>
      <c r="AC65" s="98"/>
      <c r="AD65" s="98"/>
      <c r="AE65" s="98"/>
      <c r="AF65" s="98"/>
      <c r="AG65" s="102"/>
    </row>
    <row r="66" spans="2:33" ht="109.8" customHeight="1">
      <c r="B66" s="98">
        <f t="shared" si="1"/>
        <v>57</v>
      </c>
      <c r="C66" s="108" t="s">
        <v>648</v>
      </c>
      <c r="D66" s="98" t="s">
        <v>170</v>
      </c>
      <c r="E66" s="98"/>
      <c r="F66" s="99" t="s">
        <v>604</v>
      </c>
      <c r="G66" s="98" t="s">
        <v>213</v>
      </c>
      <c r="H66" s="99"/>
      <c r="I66" s="100" t="s">
        <v>273</v>
      </c>
      <c r="J66" s="101" t="s">
        <v>403</v>
      </c>
      <c r="K66" s="99"/>
      <c r="L66" s="101" t="s">
        <v>274</v>
      </c>
      <c r="M66" s="101" t="s">
        <v>276</v>
      </c>
      <c r="N66" s="98" t="s">
        <v>225</v>
      </c>
      <c r="O66" s="99" t="s">
        <v>592</v>
      </c>
      <c r="P66" s="98"/>
      <c r="Q66" s="98"/>
      <c r="R66" s="98"/>
      <c r="S66" s="98">
        <v>1</v>
      </c>
      <c r="T66" s="98">
        <v>1</v>
      </c>
      <c r="U66" s="98">
        <v>1</v>
      </c>
      <c r="V66" s="98">
        <v>1</v>
      </c>
      <c r="W66" s="98">
        <v>1</v>
      </c>
      <c r="X66" s="98">
        <v>1</v>
      </c>
      <c r="Y66" s="98">
        <v>1</v>
      </c>
      <c r="Z66" s="98" t="s">
        <v>325</v>
      </c>
      <c r="AA66" s="98"/>
      <c r="AB66" s="98"/>
      <c r="AC66" s="98"/>
      <c r="AD66" s="98"/>
      <c r="AE66" s="98"/>
      <c r="AF66" s="98"/>
      <c r="AG66" s="102"/>
    </row>
    <row r="67" spans="2:33" ht="66">
      <c r="B67" s="98">
        <f t="shared" si="1"/>
        <v>58</v>
      </c>
      <c r="C67" s="108" t="s">
        <v>649</v>
      </c>
      <c r="D67" s="98" t="s">
        <v>171</v>
      </c>
      <c r="E67" s="98"/>
      <c r="F67" s="99" t="s">
        <v>605</v>
      </c>
      <c r="G67" s="98" t="s">
        <v>213</v>
      </c>
      <c r="H67" s="99" t="s">
        <v>279</v>
      </c>
      <c r="I67" s="100" t="s">
        <v>204</v>
      </c>
      <c r="J67" s="101" t="s">
        <v>405</v>
      </c>
      <c r="K67" s="99"/>
      <c r="L67" s="101" t="s">
        <v>280</v>
      </c>
      <c r="M67" s="101" t="s">
        <v>281</v>
      </c>
      <c r="N67" s="98" t="s">
        <v>225</v>
      </c>
      <c r="O67" s="99" t="s">
        <v>593</v>
      </c>
      <c r="P67" s="98"/>
      <c r="Q67" s="98"/>
      <c r="R67" s="98"/>
      <c r="S67" s="98">
        <v>1</v>
      </c>
      <c r="T67" s="98">
        <v>1</v>
      </c>
      <c r="U67" s="98">
        <v>1</v>
      </c>
      <c r="V67" s="98">
        <v>1</v>
      </c>
      <c r="W67" s="98">
        <v>1</v>
      </c>
      <c r="X67" s="98">
        <v>1</v>
      </c>
      <c r="Y67" s="98">
        <v>1</v>
      </c>
      <c r="Z67" s="98" t="s">
        <v>325</v>
      </c>
      <c r="AA67" s="98"/>
      <c r="AB67" s="98"/>
      <c r="AC67" s="98"/>
      <c r="AD67" s="98"/>
      <c r="AE67" s="98"/>
      <c r="AF67" s="98"/>
      <c r="AG67" s="102"/>
    </row>
    <row r="68" spans="2:33" ht="94.2" customHeight="1">
      <c r="B68" s="98">
        <f t="shared" si="1"/>
        <v>59</v>
      </c>
      <c r="C68" s="108" t="s">
        <v>650</v>
      </c>
      <c r="D68" s="98" t="s">
        <v>172</v>
      </c>
      <c r="E68" s="98"/>
      <c r="F68" s="99" t="s">
        <v>606</v>
      </c>
      <c r="G68" s="98" t="s">
        <v>213</v>
      </c>
      <c r="H68" s="99" t="s">
        <v>279</v>
      </c>
      <c r="I68" s="100" t="s">
        <v>282</v>
      </c>
      <c r="J68" s="101" t="s">
        <v>406</v>
      </c>
      <c r="K68" s="99"/>
      <c r="L68" s="101" t="s">
        <v>290</v>
      </c>
      <c r="M68" s="101" t="s">
        <v>287</v>
      </c>
      <c r="N68" s="98" t="s">
        <v>226</v>
      </c>
      <c r="O68" s="99" t="s">
        <v>288</v>
      </c>
      <c r="P68" s="98"/>
      <c r="Q68" s="98"/>
      <c r="R68" s="98"/>
      <c r="S68" s="98">
        <v>1</v>
      </c>
      <c r="T68" s="98">
        <v>1</v>
      </c>
      <c r="U68" s="98">
        <v>1</v>
      </c>
      <c r="V68" s="98">
        <v>1</v>
      </c>
      <c r="W68" s="98">
        <v>1</v>
      </c>
      <c r="X68" s="98">
        <v>1</v>
      </c>
      <c r="Y68" s="98">
        <v>1</v>
      </c>
      <c r="Z68" s="98" t="s">
        <v>325</v>
      </c>
      <c r="AA68" s="98"/>
      <c r="AB68" s="98"/>
      <c r="AC68" s="98"/>
      <c r="AD68" s="98"/>
      <c r="AE68" s="98"/>
      <c r="AF68" s="98"/>
      <c r="AG68" s="102"/>
    </row>
    <row r="69" spans="2:33" ht="94.2" customHeight="1">
      <c r="B69" s="98">
        <f t="shared" si="1"/>
        <v>60</v>
      </c>
      <c r="C69" s="108" t="s">
        <v>650</v>
      </c>
      <c r="D69" s="98" t="s">
        <v>172</v>
      </c>
      <c r="E69" s="98"/>
      <c r="F69" s="99" t="s">
        <v>607</v>
      </c>
      <c r="G69" s="98" t="s">
        <v>213</v>
      </c>
      <c r="H69" s="99" t="s">
        <v>279</v>
      </c>
      <c r="I69" s="100" t="s">
        <v>285</v>
      </c>
      <c r="J69" s="101" t="s">
        <v>406</v>
      </c>
      <c r="K69" s="99"/>
      <c r="L69" s="101" t="s">
        <v>289</v>
      </c>
      <c r="M69" s="101" t="s">
        <v>284</v>
      </c>
      <c r="N69" s="98" t="s">
        <v>226</v>
      </c>
      <c r="O69" s="99" t="s">
        <v>288</v>
      </c>
      <c r="P69" s="98"/>
      <c r="Q69" s="98"/>
      <c r="R69" s="98"/>
      <c r="S69" s="98">
        <v>1</v>
      </c>
      <c r="T69" s="98">
        <v>1</v>
      </c>
      <c r="U69" s="98">
        <v>1</v>
      </c>
      <c r="V69" s="98">
        <v>1</v>
      </c>
      <c r="W69" s="98">
        <v>1</v>
      </c>
      <c r="X69" s="98">
        <v>1</v>
      </c>
      <c r="Y69" s="98">
        <v>1</v>
      </c>
      <c r="Z69" s="98" t="s">
        <v>325</v>
      </c>
      <c r="AA69" s="98"/>
      <c r="AB69" s="98"/>
      <c r="AC69" s="98"/>
      <c r="AD69" s="98"/>
      <c r="AE69" s="98"/>
      <c r="AF69" s="98"/>
      <c r="AG69" s="102"/>
    </row>
    <row r="70" spans="2:33" ht="104.55" customHeight="1">
      <c r="B70" s="98">
        <f t="shared" si="1"/>
        <v>61</v>
      </c>
      <c r="C70" s="108" t="s">
        <v>650</v>
      </c>
      <c r="D70" s="98" t="s">
        <v>172</v>
      </c>
      <c r="E70" s="98"/>
      <c r="F70" s="99" t="s">
        <v>608</v>
      </c>
      <c r="G70" s="98" t="s">
        <v>213</v>
      </c>
      <c r="H70" s="99" t="s">
        <v>279</v>
      </c>
      <c r="I70" s="100" t="s">
        <v>286</v>
      </c>
      <c r="J70" s="101" t="s">
        <v>406</v>
      </c>
      <c r="K70" s="99"/>
      <c r="L70" s="101" t="s">
        <v>291</v>
      </c>
      <c r="M70" s="101" t="s">
        <v>292</v>
      </c>
      <c r="N70" s="98" t="s">
        <v>226</v>
      </c>
      <c r="O70" s="99" t="s">
        <v>288</v>
      </c>
      <c r="P70" s="98"/>
      <c r="Q70" s="98"/>
      <c r="R70" s="98"/>
      <c r="S70" s="98">
        <v>1</v>
      </c>
      <c r="T70" s="98">
        <v>1</v>
      </c>
      <c r="U70" s="98">
        <v>1</v>
      </c>
      <c r="V70" s="98">
        <v>1</v>
      </c>
      <c r="W70" s="98">
        <v>1</v>
      </c>
      <c r="X70" s="98">
        <v>1</v>
      </c>
      <c r="Y70" s="98">
        <v>1</v>
      </c>
      <c r="Z70" s="98" t="s">
        <v>325</v>
      </c>
      <c r="AA70" s="98"/>
      <c r="AB70" s="98"/>
      <c r="AC70" s="98"/>
      <c r="AD70" s="98"/>
      <c r="AE70" s="98"/>
      <c r="AF70" s="98"/>
      <c r="AG70" s="102"/>
    </row>
    <row r="71" spans="2:33" ht="94.2" customHeight="1">
      <c r="B71" s="98">
        <f t="shared" si="1"/>
        <v>62</v>
      </c>
      <c r="C71" s="108" t="s">
        <v>650</v>
      </c>
      <c r="D71" s="98" t="s">
        <v>172</v>
      </c>
      <c r="E71" s="98"/>
      <c r="F71" s="99" t="s">
        <v>609</v>
      </c>
      <c r="G71" s="98" t="s">
        <v>213</v>
      </c>
      <c r="H71" s="99" t="s">
        <v>279</v>
      </c>
      <c r="I71" s="105" t="s">
        <v>283</v>
      </c>
      <c r="J71" s="101" t="s">
        <v>407</v>
      </c>
      <c r="K71" s="99"/>
      <c r="L71" s="101" t="s">
        <v>293</v>
      </c>
      <c r="M71" s="101" t="s">
        <v>294</v>
      </c>
      <c r="N71" s="98" t="s">
        <v>226</v>
      </c>
      <c r="O71" s="99" t="s">
        <v>288</v>
      </c>
      <c r="P71" s="98"/>
      <c r="Q71" s="98"/>
      <c r="R71" s="98"/>
      <c r="S71" s="98">
        <v>1</v>
      </c>
      <c r="T71" s="98">
        <v>1</v>
      </c>
      <c r="U71" s="98">
        <v>1</v>
      </c>
      <c r="V71" s="98">
        <v>1</v>
      </c>
      <c r="W71" s="98">
        <v>1</v>
      </c>
      <c r="X71" s="98">
        <v>1</v>
      </c>
      <c r="Y71" s="98">
        <v>1</v>
      </c>
      <c r="Z71" s="98" t="s">
        <v>325</v>
      </c>
      <c r="AA71" s="98"/>
      <c r="AB71" s="98"/>
      <c r="AC71" s="98"/>
      <c r="AD71" s="98"/>
      <c r="AE71" s="98"/>
      <c r="AF71" s="98"/>
      <c r="AG71" s="102"/>
    </row>
    <row r="72" spans="2:33" ht="132">
      <c r="B72" s="98">
        <f t="shared" si="1"/>
        <v>63</v>
      </c>
      <c r="C72" s="108" t="s">
        <v>651</v>
      </c>
      <c r="D72" s="98" t="s">
        <v>173</v>
      </c>
      <c r="E72" s="98"/>
      <c r="F72" s="99" t="s">
        <v>610</v>
      </c>
      <c r="G72" s="98" t="s">
        <v>213</v>
      </c>
      <c r="H72" s="99" t="s">
        <v>300</v>
      </c>
      <c r="I72" s="100" t="s">
        <v>303</v>
      </c>
      <c r="J72" s="101" t="s">
        <v>403</v>
      </c>
      <c r="K72" s="99"/>
      <c r="L72" s="101" t="s">
        <v>305</v>
      </c>
      <c r="M72" s="101" t="s">
        <v>304</v>
      </c>
      <c r="N72" s="98" t="s">
        <v>301</v>
      </c>
      <c r="O72" s="99" t="s">
        <v>594</v>
      </c>
      <c r="P72" s="98"/>
      <c r="Q72" s="98"/>
      <c r="R72" s="98"/>
      <c r="S72" s="98">
        <v>1</v>
      </c>
      <c r="T72" s="98">
        <v>1</v>
      </c>
      <c r="U72" s="98">
        <v>1</v>
      </c>
      <c r="V72" s="98">
        <v>1</v>
      </c>
      <c r="W72" s="98">
        <v>1</v>
      </c>
      <c r="X72" s="98">
        <v>1</v>
      </c>
      <c r="Y72" s="98">
        <v>1</v>
      </c>
      <c r="Z72" s="98" t="s">
        <v>325</v>
      </c>
      <c r="AA72" s="98"/>
      <c r="AB72" s="98"/>
      <c r="AC72" s="98"/>
      <c r="AD72" s="98"/>
      <c r="AE72" s="98"/>
      <c r="AF72" s="98"/>
      <c r="AG72" s="102"/>
    </row>
    <row r="73" spans="2:33" ht="132">
      <c r="B73" s="98">
        <f t="shared" si="1"/>
        <v>64</v>
      </c>
      <c r="C73" s="108" t="s">
        <v>651</v>
      </c>
      <c r="D73" s="98" t="s">
        <v>173</v>
      </c>
      <c r="E73" s="98"/>
      <c r="F73" s="99" t="s">
        <v>611</v>
      </c>
      <c r="G73" s="98" t="s">
        <v>213</v>
      </c>
      <c r="H73" s="99" t="s">
        <v>300</v>
      </c>
      <c r="I73" s="100" t="s">
        <v>302</v>
      </c>
      <c r="J73" s="101" t="s">
        <v>403</v>
      </c>
      <c r="K73" s="99"/>
      <c r="L73" s="101" t="s">
        <v>306</v>
      </c>
      <c r="M73" s="101" t="s">
        <v>307</v>
      </c>
      <c r="N73" s="98" t="s">
        <v>227</v>
      </c>
      <c r="O73" s="99" t="s">
        <v>594</v>
      </c>
      <c r="P73" s="98"/>
      <c r="Q73" s="98"/>
      <c r="R73" s="98"/>
      <c r="S73" s="98">
        <v>1</v>
      </c>
      <c r="T73" s="98">
        <v>1</v>
      </c>
      <c r="U73" s="98">
        <v>0</v>
      </c>
      <c r="V73" s="98">
        <v>0</v>
      </c>
      <c r="W73" s="98">
        <v>0</v>
      </c>
      <c r="X73" s="98">
        <v>0</v>
      </c>
      <c r="Y73" s="98">
        <v>0</v>
      </c>
      <c r="Z73" s="98" t="s">
        <v>325</v>
      </c>
      <c r="AA73" s="98"/>
      <c r="AB73" s="98"/>
      <c r="AC73" s="98"/>
      <c r="AD73" s="98"/>
      <c r="AE73" s="98"/>
      <c r="AF73" s="98"/>
      <c r="AG73" s="102"/>
    </row>
    <row r="74" spans="2:33" ht="132">
      <c r="B74" s="98">
        <f t="shared" si="1"/>
        <v>65</v>
      </c>
      <c r="C74" s="108" t="s">
        <v>651</v>
      </c>
      <c r="D74" s="98" t="s">
        <v>173</v>
      </c>
      <c r="E74" s="98"/>
      <c r="F74" s="99" t="s">
        <v>612</v>
      </c>
      <c r="G74" s="98" t="s">
        <v>213</v>
      </c>
      <c r="H74" s="99" t="s">
        <v>300</v>
      </c>
      <c r="I74" s="100" t="s">
        <v>308</v>
      </c>
      <c r="J74" s="101" t="s">
        <v>403</v>
      </c>
      <c r="K74" s="99"/>
      <c r="L74" s="101" t="s">
        <v>309</v>
      </c>
      <c r="M74" s="101" t="s">
        <v>310</v>
      </c>
      <c r="N74" s="98" t="s">
        <v>301</v>
      </c>
      <c r="O74" s="99" t="s">
        <v>594</v>
      </c>
      <c r="P74" s="98"/>
      <c r="Q74" s="98"/>
      <c r="R74" s="98"/>
      <c r="S74" s="98">
        <v>1</v>
      </c>
      <c r="T74" s="98">
        <v>1</v>
      </c>
      <c r="U74" s="98">
        <v>0</v>
      </c>
      <c r="V74" s="98">
        <v>0</v>
      </c>
      <c r="W74" s="98">
        <v>0</v>
      </c>
      <c r="X74" s="98">
        <v>0</v>
      </c>
      <c r="Y74" s="98">
        <v>0</v>
      </c>
      <c r="Z74" s="98" t="s">
        <v>325</v>
      </c>
      <c r="AA74" s="98"/>
      <c r="AB74" s="98"/>
      <c r="AC74" s="98"/>
      <c r="AD74" s="98"/>
      <c r="AE74" s="98"/>
      <c r="AF74" s="98"/>
      <c r="AG74" s="102"/>
    </row>
    <row r="75" spans="2:33" ht="114.45" customHeight="1">
      <c r="B75" s="98">
        <f t="shared" si="1"/>
        <v>66</v>
      </c>
      <c r="C75" s="108" t="s">
        <v>652</v>
      </c>
      <c r="D75" s="99" t="s">
        <v>174</v>
      </c>
      <c r="E75" s="98"/>
      <c r="F75" s="99" t="s">
        <v>613</v>
      </c>
      <c r="G75" s="98" t="s">
        <v>213</v>
      </c>
      <c r="H75" s="99" t="s">
        <v>300</v>
      </c>
      <c r="I75" s="105" t="s">
        <v>311</v>
      </c>
      <c r="J75" s="101" t="s">
        <v>408</v>
      </c>
      <c r="K75" s="99"/>
      <c r="L75" s="101" t="s">
        <v>313</v>
      </c>
      <c r="M75" s="101" t="s">
        <v>317</v>
      </c>
      <c r="N75" s="98" t="s">
        <v>228</v>
      </c>
      <c r="O75" s="99" t="s">
        <v>288</v>
      </c>
      <c r="P75" s="98"/>
      <c r="Q75" s="98"/>
      <c r="R75" s="98"/>
      <c r="S75" s="98">
        <v>1</v>
      </c>
      <c r="T75" s="98">
        <v>1</v>
      </c>
      <c r="U75" s="98">
        <v>0</v>
      </c>
      <c r="V75" s="98">
        <v>0</v>
      </c>
      <c r="W75" s="98">
        <v>0</v>
      </c>
      <c r="X75" s="98">
        <v>0</v>
      </c>
      <c r="Y75" s="98">
        <v>0</v>
      </c>
      <c r="Z75" s="98" t="s">
        <v>325</v>
      </c>
      <c r="AA75" s="98"/>
      <c r="AB75" s="98"/>
      <c r="AC75" s="98"/>
      <c r="AD75" s="98"/>
      <c r="AE75" s="98"/>
      <c r="AF75" s="98"/>
      <c r="AG75" s="102"/>
    </row>
    <row r="76" spans="2:33" ht="114.45" customHeight="1">
      <c r="B76" s="98">
        <f t="shared" si="1"/>
        <v>67</v>
      </c>
      <c r="C76" s="108" t="s">
        <v>652</v>
      </c>
      <c r="D76" s="99" t="s">
        <v>174</v>
      </c>
      <c r="E76" s="98"/>
      <c r="F76" s="99" t="s">
        <v>614</v>
      </c>
      <c r="G76" s="98" t="s">
        <v>213</v>
      </c>
      <c r="H76" s="99" t="s">
        <v>300</v>
      </c>
      <c r="I76" s="105" t="s">
        <v>312</v>
      </c>
      <c r="J76" s="101" t="s">
        <v>409</v>
      </c>
      <c r="K76" s="99"/>
      <c r="L76" s="101" t="s">
        <v>321</v>
      </c>
      <c r="M76" s="101" t="s">
        <v>317</v>
      </c>
      <c r="N76" s="98" t="s">
        <v>228</v>
      </c>
      <c r="O76" s="99" t="s">
        <v>288</v>
      </c>
      <c r="P76" s="98"/>
      <c r="Q76" s="98"/>
      <c r="R76" s="98"/>
      <c r="S76" s="98">
        <v>1</v>
      </c>
      <c r="T76" s="98">
        <v>1</v>
      </c>
      <c r="U76" s="98">
        <v>0</v>
      </c>
      <c r="V76" s="98">
        <v>0</v>
      </c>
      <c r="W76" s="98">
        <v>0</v>
      </c>
      <c r="X76" s="98">
        <v>0</v>
      </c>
      <c r="Y76" s="98">
        <v>0</v>
      </c>
      <c r="Z76" s="98" t="s">
        <v>325</v>
      </c>
      <c r="AA76" s="98"/>
      <c r="AB76" s="98"/>
      <c r="AC76" s="98"/>
      <c r="AD76" s="98"/>
      <c r="AE76" s="98"/>
      <c r="AF76" s="98"/>
      <c r="AG76" s="102"/>
    </row>
    <row r="77" spans="2:33" ht="139.80000000000001" customHeight="1">
      <c r="B77" s="98">
        <f t="shared" si="1"/>
        <v>68</v>
      </c>
      <c r="C77" s="108" t="s">
        <v>653</v>
      </c>
      <c r="D77" s="98" t="s">
        <v>175</v>
      </c>
      <c r="E77" s="98"/>
      <c r="F77" s="99" t="s">
        <v>615</v>
      </c>
      <c r="G77" s="98" t="s">
        <v>213</v>
      </c>
      <c r="H77" s="99" t="s">
        <v>300</v>
      </c>
      <c r="I77" s="105" t="s">
        <v>315</v>
      </c>
      <c r="J77" s="101" t="s">
        <v>410</v>
      </c>
      <c r="K77" s="99"/>
      <c r="L77" s="101" t="s">
        <v>319</v>
      </c>
      <c r="M77" s="101" t="s">
        <v>318</v>
      </c>
      <c r="N77" s="98" t="s">
        <v>228</v>
      </c>
      <c r="O77" s="99" t="s">
        <v>288</v>
      </c>
      <c r="P77" s="98"/>
      <c r="Q77" s="98"/>
      <c r="R77" s="98"/>
      <c r="S77" s="99">
        <v>1</v>
      </c>
      <c r="T77" s="99">
        <v>1</v>
      </c>
      <c r="U77" s="99">
        <v>1</v>
      </c>
      <c r="V77" s="99">
        <v>1</v>
      </c>
      <c r="W77" s="99">
        <v>1</v>
      </c>
      <c r="X77" s="99">
        <v>1</v>
      </c>
      <c r="Y77" s="99">
        <v>1</v>
      </c>
      <c r="Z77" s="98" t="s">
        <v>325</v>
      </c>
      <c r="AA77" s="98"/>
      <c r="AB77" s="98"/>
      <c r="AC77" s="98"/>
      <c r="AD77" s="98"/>
      <c r="AE77" s="98"/>
      <c r="AF77" s="98"/>
      <c r="AG77" s="102"/>
    </row>
    <row r="78" spans="2:33" ht="133.80000000000001" customHeight="1">
      <c r="B78" s="98">
        <f t="shared" si="1"/>
        <v>69</v>
      </c>
      <c r="C78" s="108" t="s">
        <v>653</v>
      </c>
      <c r="D78" s="98" t="s">
        <v>175</v>
      </c>
      <c r="E78" s="98"/>
      <c r="F78" s="99" t="s">
        <v>616</v>
      </c>
      <c r="G78" s="98" t="s">
        <v>213</v>
      </c>
      <c r="H78" s="99" t="s">
        <v>300</v>
      </c>
      <c r="I78" s="105" t="s">
        <v>314</v>
      </c>
      <c r="J78" s="101" t="s">
        <v>410</v>
      </c>
      <c r="K78" s="99"/>
      <c r="L78" s="101" t="s">
        <v>320</v>
      </c>
      <c r="M78" s="101" t="s">
        <v>318</v>
      </c>
      <c r="N78" s="98" t="s">
        <v>228</v>
      </c>
      <c r="O78" s="99" t="s">
        <v>288</v>
      </c>
      <c r="P78" s="98"/>
      <c r="Q78" s="98"/>
      <c r="R78" s="98"/>
      <c r="S78" s="99">
        <v>1</v>
      </c>
      <c r="T78" s="99">
        <v>1</v>
      </c>
      <c r="U78" s="99">
        <v>1</v>
      </c>
      <c r="V78" s="99">
        <v>1</v>
      </c>
      <c r="W78" s="99">
        <v>1</v>
      </c>
      <c r="X78" s="99">
        <v>1</v>
      </c>
      <c r="Y78" s="99">
        <v>1</v>
      </c>
      <c r="Z78" s="98" t="s">
        <v>325</v>
      </c>
      <c r="AA78" s="98"/>
      <c r="AB78" s="98"/>
      <c r="AC78" s="98"/>
      <c r="AD78" s="98"/>
      <c r="AE78" s="98"/>
      <c r="AF78" s="98"/>
      <c r="AG78" s="102"/>
    </row>
    <row r="79" spans="2:33" ht="211.2">
      <c r="B79" s="98">
        <f t="shared" si="1"/>
        <v>70</v>
      </c>
      <c r="C79" s="108" t="s">
        <v>654</v>
      </c>
      <c r="D79" s="98" t="s">
        <v>176</v>
      </c>
      <c r="E79" s="98"/>
      <c r="F79" s="99" t="s">
        <v>617</v>
      </c>
      <c r="G79" s="98" t="s">
        <v>213</v>
      </c>
      <c r="H79" s="99" t="s">
        <v>300</v>
      </c>
      <c r="I79" s="100" t="s">
        <v>205</v>
      </c>
      <c r="J79" s="101" t="s">
        <v>403</v>
      </c>
      <c r="K79" s="99"/>
      <c r="L79" s="101" t="s">
        <v>322</v>
      </c>
      <c r="M79" s="101" t="s">
        <v>323</v>
      </c>
      <c r="N79" s="98" t="s">
        <v>229</v>
      </c>
      <c r="O79" s="99" t="s">
        <v>288</v>
      </c>
      <c r="P79" s="98"/>
      <c r="Q79" s="98"/>
      <c r="R79" s="98"/>
      <c r="S79" s="98">
        <v>1</v>
      </c>
      <c r="T79" s="98">
        <v>1</v>
      </c>
      <c r="U79" s="98">
        <v>0</v>
      </c>
      <c r="V79" s="98">
        <v>0</v>
      </c>
      <c r="W79" s="98">
        <v>0</v>
      </c>
      <c r="X79" s="98">
        <v>0</v>
      </c>
      <c r="Y79" s="98">
        <v>0</v>
      </c>
      <c r="Z79" s="98" t="s">
        <v>325</v>
      </c>
      <c r="AA79" s="98"/>
      <c r="AB79" s="98"/>
      <c r="AC79" s="98"/>
      <c r="AD79" s="98"/>
      <c r="AE79" s="98"/>
      <c r="AF79" s="98"/>
      <c r="AG79" s="102"/>
    </row>
    <row r="80" spans="2:33" ht="174">
      <c r="B80" s="98">
        <f t="shared" si="1"/>
        <v>71</v>
      </c>
      <c r="C80" s="108" t="s">
        <v>655</v>
      </c>
      <c r="D80" s="98" t="s">
        <v>177</v>
      </c>
      <c r="E80" s="98"/>
      <c r="F80" s="99" t="s">
        <v>618</v>
      </c>
      <c r="G80" s="98" t="s">
        <v>213</v>
      </c>
      <c r="H80" s="99" t="s">
        <v>300</v>
      </c>
      <c r="I80" s="100" t="s">
        <v>206</v>
      </c>
      <c r="J80" s="101" t="s">
        <v>403</v>
      </c>
      <c r="K80" s="99"/>
      <c r="L80" s="101" t="s">
        <v>350</v>
      </c>
      <c r="M80" s="101" t="s">
        <v>349</v>
      </c>
      <c r="N80" s="98" t="s">
        <v>230</v>
      </c>
      <c r="O80" s="99" t="s">
        <v>288</v>
      </c>
      <c r="P80" s="98"/>
      <c r="Q80" s="98"/>
      <c r="R80" s="98"/>
      <c r="S80" s="99">
        <v>1</v>
      </c>
      <c r="T80" s="99">
        <v>1</v>
      </c>
      <c r="U80" s="99">
        <v>1</v>
      </c>
      <c r="V80" s="99">
        <v>1</v>
      </c>
      <c r="W80" s="99">
        <v>1</v>
      </c>
      <c r="X80" s="99">
        <v>1</v>
      </c>
      <c r="Y80" s="99">
        <v>1</v>
      </c>
      <c r="Z80" s="98" t="s">
        <v>325</v>
      </c>
      <c r="AA80" s="98"/>
      <c r="AB80" s="98"/>
      <c r="AC80" s="98"/>
      <c r="AD80" s="98"/>
      <c r="AE80" s="98"/>
      <c r="AF80" s="98"/>
      <c r="AG80" s="102"/>
    </row>
    <row r="81" spans="2:33" ht="92.4">
      <c r="B81" s="98">
        <f t="shared" si="1"/>
        <v>72</v>
      </c>
      <c r="C81" s="108" t="s">
        <v>656</v>
      </c>
      <c r="D81" s="98" t="s">
        <v>178</v>
      </c>
      <c r="E81" s="98"/>
      <c r="F81" s="99" t="s">
        <v>619</v>
      </c>
      <c r="G81" s="98" t="s">
        <v>213</v>
      </c>
      <c r="H81" s="99" t="s">
        <v>300</v>
      </c>
      <c r="I81" s="100" t="s">
        <v>207</v>
      </c>
      <c r="J81" s="101" t="s">
        <v>403</v>
      </c>
      <c r="K81" s="99"/>
      <c r="L81" s="101" t="s">
        <v>324</v>
      </c>
      <c r="M81" s="101" t="s">
        <v>342</v>
      </c>
      <c r="N81" s="98" t="s">
        <v>230</v>
      </c>
      <c r="O81" s="99" t="s">
        <v>288</v>
      </c>
      <c r="P81" s="98"/>
      <c r="Q81" s="98"/>
      <c r="R81" s="98"/>
      <c r="S81" s="99">
        <v>1</v>
      </c>
      <c r="T81" s="99">
        <v>1</v>
      </c>
      <c r="U81" s="99">
        <v>1</v>
      </c>
      <c r="V81" s="99">
        <v>1</v>
      </c>
      <c r="W81" s="99">
        <v>1</v>
      </c>
      <c r="X81" s="99">
        <v>1</v>
      </c>
      <c r="Y81" s="99">
        <v>1</v>
      </c>
      <c r="Z81" s="98" t="s">
        <v>325</v>
      </c>
      <c r="AA81" s="98"/>
      <c r="AB81" s="98"/>
      <c r="AC81" s="98"/>
      <c r="AD81" s="98"/>
      <c r="AE81" s="98"/>
      <c r="AF81" s="98"/>
      <c r="AG81" s="102"/>
    </row>
    <row r="82" spans="2:33" ht="158.4">
      <c r="B82" s="98">
        <f t="shared" si="1"/>
        <v>73</v>
      </c>
      <c r="C82" s="108" t="s">
        <v>657</v>
      </c>
      <c r="D82" s="98" t="s">
        <v>179</v>
      </c>
      <c r="E82" s="98"/>
      <c r="F82" s="99" t="s">
        <v>620</v>
      </c>
      <c r="G82" s="98" t="s">
        <v>213</v>
      </c>
      <c r="H82" s="99" t="s">
        <v>316</v>
      </c>
      <c r="I82" s="100" t="s">
        <v>208</v>
      </c>
      <c r="J82" s="101" t="s">
        <v>411</v>
      </c>
      <c r="K82" s="99"/>
      <c r="L82" s="101" t="s">
        <v>326</v>
      </c>
      <c r="M82" s="101" t="s">
        <v>343</v>
      </c>
      <c r="N82" s="98" t="s">
        <v>231</v>
      </c>
      <c r="O82" s="99" t="s">
        <v>327</v>
      </c>
      <c r="P82" s="98"/>
      <c r="Q82" s="98"/>
      <c r="R82" s="98"/>
      <c r="S82" s="99">
        <v>1</v>
      </c>
      <c r="T82" s="99">
        <v>1</v>
      </c>
      <c r="U82" s="99">
        <v>1</v>
      </c>
      <c r="V82" s="99">
        <v>1</v>
      </c>
      <c r="W82" s="99">
        <v>1</v>
      </c>
      <c r="X82" s="99">
        <v>1</v>
      </c>
      <c r="Y82" s="99">
        <v>1</v>
      </c>
      <c r="Z82" s="98" t="s">
        <v>325</v>
      </c>
      <c r="AA82" s="98"/>
      <c r="AB82" s="98"/>
      <c r="AC82" s="98"/>
      <c r="AD82" s="98"/>
      <c r="AE82" s="98"/>
      <c r="AF82" s="98"/>
      <c r="AG82" s="102"/>
    </row>
    <row r="83" spans="2:33" ht="105.6">
      <c r="B83" s="98">
        <f t="shared" si="1"/>
        <v>74</v>
      </c>
      <c r="C83" s="108" t="s">
        <v>658</v>
      </c>
      <c r="D83" s="98" t="s">
        <v>180</v>
      </c>
      <c r="E83" s="98"/>
      <c r="F83" s="99" t="s">
        <v>621</v>
      </c>
      <c r="G83" s="98" t="s">
        <v>213</v>
      </c>
      <c r="H83" s="99" t="s">
        <v>316</v>
      </c>
      <c r="I83" s="100" t="s">
        <v>340</v>
      </c>
      <c r="J83" s="101" t="s">
        <v>412</v>
      </c>
      <c r="K83" s="99"/>
      <c r="L83" s="101" t="s">
        <v>344</v>
      </c>
      <c r="M83" s="101" t="s">
        <v>345</v>
      </c>
      <c r="N83" s="98" t="s">
        <v>240</v>
      </c>
      <c r="O83" s="99" t="s">
        <v>595</v>
      </c>
      <c r="P83" s="98"/>
      <c r="Q83" s="98"/>
      <c r="R83" s="98"/>
      <c r="S83" s="99">
        <v>1</v>
      </c>
      <c r="T83" s="99">
        <v>1</v>
      </c>
      <c r="U83" s="99">
        <v>1</v>
      </c>
      <c r="V83" s="99">
        <v>1</v>
      </c>
      <c r="W83" s="99">
        <v>1</v>
      </c>
      <c r="X83" s="99">
        <v>1</v>
      </c>
      <c r="Y83" s="99">
        <v>1</v>
      </c>
      <c r="Z83" s="98" t="s">
        <v>325</v>
      </c>
      <c r="AA83" s="98"/>
      <c r="AB83" s="98"/>
      <c r="AC83" s="98"/>
      <c r="AD83" s="98"/>
      <c r="AE83" s="98"/>
      <c r="AF83" s="98"/>
      <c r="AG83" s="102"/>
    </row>
    <row r="84" spans="2:33" ht="132">
      <c r="B84" s="98">
        <f t="shared" si="1"/>
        <v>75</v>
      </c>
      <c r="C84" s="108" t="s">
        <v>658</v>
      </c>
      <c r="D84" s="98" t="s">
        <v>180</v>
      </c>
      <c r="E84" s="98"/>
      <c r="F84" s="99" t="s">
        <v>622</v>
      </c>
      <c r="G84" s="98" t="s">
        <v>213</v>
      </c>
      <c r="H84" s="99" t="s">
        <v>316</v>
      </c>
      <c r="I84" s="100" t="s">
        <v>341</v>
      </c>
      <c r="J84" s="101" t="s">
        <v>413</v>
      </c>
      <c r="K84" s="99"/>
      <c r="L84" s="101" t="s">
        <v>346</v>
      </c>
      <c r="M84" s="101" t="s">
        <v>347</v>
      </c>
      <c r="N84" s="98" t="s">
        <v>240</v>
      </c>
      <c r="O84" s="99" t="s">
        <v>595</v>
      </c>
      <c r="P84" s="98"/>
      <c r="Q84" s="98"/>
      <c r="R84" s="98"/>
      <c r="S84" s="99">
        <v>1</v>
      </c>
      <c r="T84" s="99">
        <v>1</v>
      </c>
      <c r="U84" s="99">
        <v>1</v>
      </c>
      <c r="V84" s="99">
        <v>1</v>
      </c>
      <c r="W84" s="99">
        <v>1</v>
      </c>
      <c r="X84" s="99">
        <v>1</v>
      </c>
      <c r="Y84" s="99">
        <v>1</v>
      </c>
      <c r="Z84" s="98" t="s">
        <v>325</v>
      </c>
      <c r="AA84" s="98"/>
      <c r="AB84" s="98"/>
      <c r="AC84" s="98"/>
      <c r="AD84" s="98"/>
      <c r="AE84" s="98"/>
      <c r="AF84" s="98"/>
      <c r="AG84" s="102"/>
    </row>
    <row r="85" spans="2:33" ht="105.6">
      <c r="B85" s="98">
        <f t="shared" si="1"/>
        <v>76</v>
      </c>
      <c r="C85" s="108" t="s">
        <v>659</v>
      </c>
      <c r="D85" s="98" t="s">
        <v>181</v>
      </c>
      <c r="E85" s="98"/>
      <c r="F85" s="99" t="s">
        <v>623</v>
      </c>
      <c r="G85" s="98" t="s">
        <v>213</v>
      </c>
      <c r="H85" s="99" t="s">
        <v>316</v>
      </c>
      <c r="I85" s="100" t="s">
        <v>209</v>
      </c>
      <c r="J85" s="101" t="s">
        <v>414</v>
      </c>
      <c r="K85" s="99"/>
      <c r="L85" s="101" t="s">
        <v>344</v>
      </c>
      <c r="M85" s="101" t="s">
        <v>426</v>
      </c>
      <c r="N85" s="98" t="s">
        <v>232</v>
      </c>
      <c r="O85" s="99" t="s">
        <v>596</v>
      </c>
      <c r="P85" s="98"/>
      <c r="Q85" s="98"/>
      <c r="R85" s="98"/>
      <c r="S85" s="99">
        <v>1</v>
      </c>
      <c r="T85" s="99">
        <v>1</v>
      </c>
      <c r="U85" s="99">
        <v>1</v>
      </c>
      <c r="V85" s="99">
        <v>1</v>
      </c>
      <c r="W85" s="99">
        <v>1</v>
      </c>
      <c r="X85" s="99">
        <v>1</v>
      </c>
      <c r="Y85" s="99">
        <v>1</v>
      </c>
      <c r="Z85" s="98" t="s">
        <v>325</v>
      </c>
      <c r="AA85" s="98"/>
      <c r="AB85" s="98"/>
      <c r="AC85" s="98"/>
      <c r="AD85" s="98"/>
      <c r="AE85" s="98"/>
      <c r="AF85" s="98"/>
      <c r="AG85" s="102"/>
    </row>
    <row r="86" spans="2:33" ht="105.6">
      <c r="B86" s="98">
        <f t="shared" si="1"/>
        <v>77</v>
      </c>
      <c r="C86" s="108" t="s">
        <v>660</v>
      </c>
      <c r="D86" s="98" t="s">
        <v>182</v>
      </c>
      <c r="E86" s="98"/>
      <c r="F86" s="99" t="s">
        <v>624</v>
      </c>
      <c r="G86" s="98" t="s">
        <v>213</v>
      </c>
      <c r="H86" s="99" t="s">
        <v>316</v>
      </c>
      <c r="I86" s="100" t="s">
        <v>210</v>
      </c>
      <c r="J86" s="101" t="s">
        <v>415</v>
      </c>
      <c r="K86" s="99"/>
      <c r="L86" s="101" t="s">
        <v>344</v>
      </c>
      <c r="M86" s="101" t="s">
        <v>427</v>
      </c>
      <c r="N86" s="98" t="s">
        <v>233</v>
      </c>
      <c r="O86" s="99" t="s">
        <v>597</v>
      </c>
      <c r="P86" s="98"/>
      <c r="Q86" s="98"/>
      <c r="R86" s="98"/>
      <c r="S86" s="99">
        <v>1</v>
      </c>
      <c r="T86" s="99">
        <v>1</v>
      </c>
      <c r="U86" s="99">
        <v>1</v>
      </c>
      <c r="V86" s="99">
        <v>1</v>
      </c>
      <c r="W86" s="99">
        <v>1</v>
      </c>
      <c r="X86" s="99">
        <v>1</v>
      </c>
      <c r="Y86" s="99">
        <v>1</v>
      </c>
      <c r="Z86" s="98" t="s">
        <v>325</v>
      </c>
      <c r="AA86" s="98"/>
      <c r="AB86" s="98"/>
      <c r="AC86" s="98"/>
      <c r="AD86" s="98"/>
      <c r="AE86" s="98"/>
      <c r="AF86" s="98"/>
      <c r="AG86" s="102"/>
    </row>
    <row r="87" spans="2:33" ht="66">
      <c r="B87" s="98">
        <f t="shared" si="1"/>
        <v>78</v>
      </c>
      <c r="C87" s="108" t="s">
        <v>661</v>
      </c>
      <c r="D87" s="98" t="s">
        <v>183</v>
      </c>
      <c r="E87" s="98"/>
      <c r="F87" s="99" t="s">
        <v>625</v>
      </c>
      <c r="G87" s="98" t="s">
        <v>213</v>
      </c>
      <c r="H87" s="99" t="s">
        <v>279</v>
      </c>
      <c r="I87" s="105" t="s">
        <v>211</v>
      </c>
      <c r="J87" s="101" t="s">
        <v>416</v>
      </c>
      <c r="K87" s="99"/>
      <c r="L87" s="101" t="s">
        <v>351</v>
      </c>
      <c r="M87" s="101" t="s">
        <v>352</v>
      </c>
      <c r="N87" s="98" t="s">
        <v>234</v>
      </c>
      <c r="O87" s="99" t="s">
        <v>288</v>
      </c>
      <c r="P87" s="98"/>
      <c r="Q87" s="98"/>
      <c r="R87" s="98"/>
      <c r="S87" s="99">
        <v>1</v>
      </c>
      <c r="T87" s="99">
        <v>1</v>
      </c>
      <c r="U87" s="99">
        <v>1</v>
      </c>
      <c r="V87" s="99">
        <v>1</v>
      </c>
      <c r="W87" s="99">
        <v>1</v>
      </c>
      <c r="X87" s="99">
        <v>1</v>
      </c>
      <c r="Y87" s="99">
        <v>1</v>
      </c>
      <c r="Z87" s="98" t="s">
        <v>325</v>
      </c>
      <c r="AA87" s="98"/>
      <c r="AB87" s="98"/>
      <c r="AC87" s="98"/>
      <c r="AD87" s="98"/>
      <c r="AE87" s="98"/>
      <c r="AF87" s="98"/>
      <c r="AG87" s="102"/>
    </row>
    <row r="88" spans="2:33" ht="79.2">
      <c r="B88" s="98">
        <f t="shared" si="1"/>
        <v>79</v>
      </c>
      <c r="C88" s="108" t="s">
        <v>662</v>
      </c>
      <c r="D88" s="98" t="s">
        <v>184</v>
      </c>
      <c r="E88" s="98"/>
      <c r="F88" s="99" t="s">
        <v>626</v>
      </c>
      <c r="G88" s="98" t="s">
        <v>213</v>
      </c>
      <c r="H88" s="99" t="s">
        <v>355</v>
      </c>
      <c r="I88" s="100" t="s">
        <v>212</v>
      </c>
      <c r="J88" s="101" t="s">
        <v>417</v>
      </c>
      <c r="K88" s="99"/>
      <c r="L88" s="101" t="s">
        <v>353</v>
      </c>
      <c r="M88" s="101" t="s">
        <v>354</v>
      </c>
      <c r="N88" s="98" t="s">
        <v>235</v>
      </c>
      <c r="O88" s="99" t="s">
        <v>288</v>
      </c>
      <c r="P88" s="98"/>
      <c r="Q88" s="98"/>
      <c r="R88" s="98"/>
      <c r="S88" s="99">
        <v>1</v>
      </c>
      <c r="T88" s="99">
        <v>1</v>
      </c>
      <c r="U88" s="99">
        <v>1</v>
      </c>
      <c r="V88" s="99">
        <v>1</v>
      </c>
      <c r="W88" s="99">
        <v>1</v>
      </c>
      <c r="X88" s="99">
        <v>1</v>
      </c>
      <c r="Y88" s="99">
        <v>1</v>
      </c>
      <c r="Z88" s="98" t="s">
        <v>325</v>
      </c>
      <c r="AA88" s="98"/>
      <c r="AB88" s="98"/>
      <c r="AC88" s="98"/>
      <c r="AD88" s="98"/>
      <c r="AE88" s="98"/>
      <c r="AF88" s="98"/>
      <c r="AG88" s="102"/>
    </row>
    <row r="89" spans="2:33" ht="132">
      <c r="B89" s="98">
        <f t="shared" si="1"/>
        <v>80</v>
      </c>
      <c r="C89" s="108" t="s">
        <v>663</v>
      </c>
      <c r="D89" s="98" t="s">
        <v>185</v>
      </c>
      <c r="E89" s="98"/>
      <c r="F89" s="99" t="s">
        <v>627</v>
      </c>
      <c r="G89" s="98" t="s">
        <v>213</v>
      </c>
      <c r="H89" s="99" t="s">
        <v>279</v>
      </c>
      <c r="I89" s="105" t="s">
        <v>419</v>
      </c>
      <c r="J89" s="101" t="s">
        <v>418</v>
      </c>
      <c r="K89" s="99"/>
      <c r="L89" s="101" t="s">
        <v>363</v>
      </c>
      <c r="M89" s="101" t="s">
        <v>364</v>
      </c>
      <c r="N89" s="99" t="s">
        <v>236</v>
      </c>
      <c r="O89" s="99" t="s">
        <v>288</v>
      </c>
      <c r="P89" s="98"/>
      <c r="Q89" s="98"/>
      <c r="R89" s="98"/>
      <c r="S89" s="99">
        <v>1</v>
      </c>
      <c r="T89" s="99">
        <v>1</v>
      </c>
      <c r="U89" s="99">
        <v>1</v>
      </c>
      <c r="V89" s="99">
        <v>1</v>
      </c>
      <c r="W89" s="99">
        <v>1</v>
      </c>
      <c r="X89" s="99">
        <v>1</v>
      </c>
      <c r="Y89" s="99">
        <v>1</v>
      </c>
      <c r="Z89" s="98" t="s">
        <v>325</v>
      </c>
      <c r="AA89" s="98"/>
      <c r="AB89" s="98"/>
      <c r="AC89" s="98"/>
      <c r="AD89" s="98"/>
      <c r="AE89" s="98"/>
      <c r="AF89" s="98"/>
      <c r="AG89" s="102"/>
    </row>
    <row r="90" spans="2:33" ht="132">
      <c r="B90" s="98">
        <f t="shared" si="1"/>
        <v>81</v>
      </c>
      <c r="C90" s="108" t="s">
        <v>663</v>
      </c>
      <c r="D90" s="98" t="s">
        <v>185</v>
      </c>
      <c r="E90" s="98"/>
      <c r="F90" s="99" t="s">
        <v>628</v>
      </c>
      <c r="G90" s="98" t="s">
        <v>213</v>
      </c>
      <c r="H90" s="99" t="s">
        <v>279</v>
      </c>
      <c r="I90" s="105" t="s">
        <v>361</v>
      </c>
      <c r="J90" s="101" t="s">
        <v>403</v>
      </c>
      <c r="K90" s="99"/>
      <c r="L90" s="101" t="s">
        <v>366</v>
      </c>
      <c r="M90" s="101" t="s">
        <v>365</v>
      </c>
      <c r="N90" s="99" t="s">
        <v>236</v>
      </c>
      <c r="O90" s="99" t="s">
        <v>288</v>
      </c>
      <c r="P90" s="98"/>
      <c r="Q90" s="98"/>
      <c r="R90" s="98"/>
      <c r="S90" s="99">
        <v>1</v>
      </c>
      <c r="T90" s="99">
        <v>1</v>
      </c>
      <c r="U90" s="99">
        <v>1</v>
      </c>
      <c r="V90" s="99">
        <v>1</v>
      </c>
      <c r="W90" s="99">
        <v>1</v>
      </c>
      <c r="X90" s="99">
        <v>1</v>
      </c>
      <c r="Y90" s="99">
        <v>1</v>
      </c>
      <c r="Z90" s="98" t="s">
        <v>325</v>
      </c>
      <c r="AA90" s="98"/>
      <c r="AB90" s="98"/>
      <c r="AC90" s="98"/>
      <c r="AD90" s="98"/>
      <c r="AE90" s="98"/>
      <c r="AF90" s="98"/>
      <c r="AG90" s="102"/>
    </row>
    <row r="91" spans="2:33" ht="171.6">
      <c r="B91" s="98">
        <f t="shared" si="1"/>
        <v>82</v>
      </c>
      <c r="C91" s="108" t="s">
        <v>664</v>
      </c>
      <c r="D91" s="98" t="s">
        <v>186</v>
      </c>
      <c r="E91" s="99"/>
      <c r="F91" s="99" t="s">
        <v>629</v>
      </c>
      <c r="G91" s="98" t="s">
        <v>213</v>
      </c>
      <c r="H91" s="99" t="s">
        <v>300</v>
      </c>
      <c r="I91" s="100" t="s">
        <v>371</v>
      </c>
      <c r="J91" s="101" t="s">
        <v>429</v>
      </c>
      <c r="K91" s="99"/>
      <c r="L91" s="101" t="s">
        <v>367</v>
      </c>
      <c r="M91" s="101" t="s">
        <v>368</v>
      </c>
      <c r="N91" s="98" t="s">
        <v>237</v>
      </c>
      <c r="O91" s="99" t="s">
        <v>288</v>
      </c>
      <c r="P91" s="98"/>
      <c r="Q91" s="98"/>
      <c r="R91" s="98"/>
      <c r="S91" s="98">
        <v>1</v>
      </c>
      <c r="T91" s="98">
        <v>1</v>
      </c>
      <c r="U91" s="98">
        <v>0</v>
      </c>
      <c r="V91" s="98">
        <v>0</v>
      </c>
      <c r="W91" s="98">
        <v>0</v>
      </c>
      <c r="X91" s="98">
        <v>0</v>
      </c>
      <c r="Y91" s="98">
        <v>0</v>
      </c>
      <c r="Z91" s="98" t="s">
        <v>325</v>
      </c>
      <c r="AA91" s="98"/>
      <c r="AB91" s="98"/>
      <c r="AC91" s="98"/>
      <c r="AD91" s="98"/>
      <c r="AE91" s="98"/>
      <c r="AF91" s="98"/>
      <c r="AG91" s="102"/>
    </row>
    <row r="92" spans="2:33" ht="171.6">
      <c r="B92" s="98">
        <f t="shared" si="1"/>
        <v>83</v>
      </c>
      <c r="C92" s="108" t="s">
        <v>664</v>
      </c>
      <c r="D92" s="98" t="s">
        <v>186</v>
      </c>
      <c r="E92" s="99"/>
      <c r="F92" s="99" t="s">
        <v>630</v>
      </c>
      <c r="G92" s="98" t="s">
        <v>213</v>
      </c>
      <c r="H92" s="99" t="s">
        <v>300</v>
      </c>
      <c r="I92" s="100" t="s">
        <v>373</v>
      </c>
      <c r="J92" s="101" t="s">
        <v>430</v>
      </c>
      <c r="K92" s="99"/>
      <c r="L92" s="101" t="s">
        <v>367</v>
      </c>
      <c r="M92" s="101" t="s">
        <v>368</v>
      </c>
      <c r="N92" s="98" t="s">
        <v>237</v>
      </c>
      <c r="O92" s="99" t="s">
        <v>288</v>
      </c>
      <c r="P92" s="98"/>
      <c r="Q92" s="98"/>
      <c r="R92" s="98"/>
      <c r="S92" s="98">
        <v>1</v>
      </c>
      <c r="T92" s="98">
        <v>1</v>
      </c>
      <c r="U92" s="98">
        <v>0</v>
      </c>
      <c r="V92" s="98">
        <v>0</v>
      </c>
      <c r="W92" s="98">
        <v>0</v>
      </c>
      <c r="X92" s="98">
        <v>0</v>
      </c>
      <c r="Y92" s="98">
        <v>0</v>
      </c>
      <c r="Z92" s="98" t="s">
        <v>325</v>
      </c>
      <c r="AA92" s="98"/>
      <c r="AB92" s="98"/>
      <c r="AC92" s="98"/>
      <c r="AD92" s="98"/>
      <c r="AE92" s="98"/>
      <c r="AF92" s="98"/>
      <c r="AG92" s="102"/>
    </row>
    <row r="93" spans="2:33" ht="171.6">
      <c r="B93" s="98">
        <f t="shared" si="1"/>
        <v>84</v>
      </c>
      <c r="C93" s="108" t="s">
        <v>664</v>
      </c>
      <c r="D93" s="98" t="s">
        <v>186</v>
      </c>
      <c r="E93" s="99"/>
      <c r="F93" s="99" t="s">
        <v>631</v>
      </c>
      <c r="G93" s="98" t="s">
        <v>213</v>
      </c>
      <c r="H93" s="99" t="s">
        <v>300</v>
      </c>
      <c r="I93" s="100" t="s">
        <v>375</v>
      </c>
      <c r="J93" s="101" t="s">
        <v>431</v>
      </c>
      <c r="K93" s="99"/>
      <c r="L93" s="101" t="s">
        <v>367</v>
      </c>
      <c r="M93" s="101" t="s">
        <v>368</v>
      </c>
      <c r="N93" s="98" t="s">
        <v>237</v>
      </c>
      <c r="O93" s="99" t="s">
        <v>288</v>
      </c>
      <c r="P93" s="98"/>
      <c r="Q93" s="98"/>
      <c r="R93" s="98"/>
      <c r="S93" s="98">
        <v>1</v>
      </c>
      <c r="T93" s="98">
        <v>1</v>
      </c>
      <c r="U93" s="98">
        <v>0</v>
      </c>
      <c r="V93" s="98">
        <v>0</v>
      </c>
      <c r="W93" s="98">
        <v>0</v>
      </c>
      <c r="X93" s="98">
        <v>0</v>
      </c>
      <c r="Y93" s="98">
        <v>0</v>
      </c>
      <c r="Z93" s="98" t="s">
        <v>325</v>
      </c>
      <c r="AA93" s="98"/>
      <c r="AB93" s="98"/>
      <c r="AC93" s="98"/>
      <c r="AD93" s="98"/>
      <c r="AE93" s="98"/>
      <c r="AF93" s="98"/>
      <c r="AG93" s="102"/>
    </row>
    <row r="94" spans="2:33" ht="171.6">
      <c r="B94" s="98">
        <f t="shared" si="1"/>
        <v>85</v>
      </c>
      <c r="C94" s="108" t="s">
        <v>664</v>
      </c>
      <c r="D94" s="98" t="s">
        <v>186</v>
      </c>
      <c r="E94" s="99"/>
      <c r="F94" s="99" t="s">
        <v>632</v>
      </c>
      <c r="G94" s="98" t="s">
        <v>213</v>
      </c>
      <c r="H94" s="99" t="s">
        <v>300</v>
      </c>
      <c r="I94" s="100" t="s">
        <v>377</v>
      </c>
      <c r="J94" s="101" t="s">
        <v>432</v>
      </c>
      <c r="K94" s="99"/>
      <c r="L94" s="101" t="s">
        <v>367</v>
      </c>
      <c r="M94" s="101" t="s">
        <v>368</v>
      </c>
      <c r="N94" s="98" t="s">
        <v>237</v>
      </c>
      <c r="O94" s="99" t="s">
        <v>288</v>
      </c>
      <c r="P94" s="98"/>
      <c r="Q94" s="98"/>
      <c r="R94" s="98"/>
      <c r="S94" s="98">
        <v>1</v>
      </c>
      <c r="T94" s="98">
        <v>1</v>
      </c>
      <c r="U94" s="98">
        <v>0</v>
      </c>
      <c r="V94" s="98">
        <v>0</v>
      </c>
      <c r="W94" s="98">
        <v>0</v>
      </c>
      <c r="X94" s="98">
        <v>0</v>
      </c>
      <c r="Y94" s="98">
        <v>0</v>
      </c>
      <c r="Z94" s="98" t="s">
        <v>325</v>
      </c>
      <c r="AA94" s="98"/>
      <c r="AB94" s="98"/>
      <c r="AC94" s="98"/>
      <c r="AD94" s="98"/>
      <c r="AE94" s="98"/>
      <c r="AF94" s="98"/>
      <c r="AG94" s="102"/>
    </row>
    <row r="95" spans="2:33" ht="171.6">
      <c r="B95" s="98">
        <f t="shared" si="1"/>
        <v>86</v>
      </c>
      <c r="C95" s="108" t="s">
        <v>664</v>
      </c>
      <c r="D95" s="98" t="s">
        <v>186</v>
      </c>
      <c r="E95" s="99"/>
      <c r="F95" s="99" t="s">
        <v>633</v>
      </c>
      <c r="G95" s="98" t="s">
        <v>213</v>
      </c>
      <c r="H95" s="99" t="s">
        <v>300</v>
      </c>
      <c r="I95" s="100" t="s">
        <v>383</v>
      </c>
      <c r="J95" s="101" t="s">
        <v>433</v>
      </c>
      <c r="K95" s="99"/>
      <c r="L95" s="101" t="s">
        <v>367</v>
      </c>
      <c r="M95" s="101" t="s">
        <v>368</v>
      </c>
      <c r="N95" s="98" t="s">
        <v>237</v>
      </c>
      <c r="O95" s="99" t="s">
        <v>288</v>
      </c>
      <c r="P95" s="98"/>
      <c r="Q95" s="98"/>
      <c r="R95" s="98"/>
      <c r="S95" s="98">
        <v>1</v>
      </c>
      <c r="T95" s="98">
        <v>1</v>
      </c>
      <c r="U95" s="98">
        <v>0</v>
      </c>
      <c r="V95" s="98">
        <v>0</v>
      </c>
      <c r="W95" s="98">
        <v>0</v>
      </c>
      <c r="X95" s="98">
        <v>0</v>
      </c>
      <c r="Y95" s="98">
        <v>0</v>
      </c>
      <c r="Z95" s="98" t="s">
        <v>325</v>
      </c>
      <c r="AA95" s="98"/>
      <c r="AB95" s="98"/>
      <c r="AC95" s="98"/>
      <c r="AD95" s="98"/>
      <c r="AE95" s="98"/>
      <c r="AF95" s="98"/>
      <c r="AG95" s="102"/>
    </row>
    <row r="96" spans="2:33" ht="171.6">
      <c r="B96" s="98">
        <f t="shared" si="1"/>
        <v>87</v>
      </c>
      <c r="C96" s="108" t="s">
        <v>665</v>
      </c>
      <c r="D96" s="98" t="s">
        <v>187</v>
      </c>
      <c r="E96" s="99"/>
      <c r="F96" s="99" t="s">
        <v>634</v>
      </c>
      <c r="G96" s="98" t="s">
        <v>213</v>
      </c>
      <c r="H96" s="99" t="s">
        <v>369</v>
      </c>
      <c r="I96" s="105" t="s">
        <v>372</v>
      </c>
      <c r="J96" s="101" t="s">
        <v>428</v>
      </c>
      <c r="K96" s="99"/>
      <c r="L96" s="101" t="s">
        <v>380</v>
      </c>
      <c r="M96" s="101" t="s">
        <v>379</v>
      </c>
      <c r="N96" s="98" t="s">
        <v>237</v>
      </c>
      <c r="O96" s="99" t="s">
        <v>288</v>
      </c>
      <c r="P96" s="98"/>
      <c r="Q96" s="98"/>
      <c r="R96" s="98"/>
      <c r="S96" s="98">
        <v>1</v>
      </c>
      <c r="T96" s="98">
        <v>1</v>
      </c>
      <c r="U96" s="98">
        <v>0</v>
      </c>
      <c r="V96" s="98">
        <v>0</v>
      </c>
      <c r="W96" s="98">
        <v>0</v>
      </c>
      <c r="X96" s="98">
        <v>0</v>
      </c>
      <c r="Y96" s="98">
        <v>0</v>
      </c>
      <c r="Z96" s="98" t="s">
        <v>325</v>
      </c>
      <c r="AA96" s="98"/>
      <c r="AB96" s="98"/>
      <c r="AC96" s="98"/>
      <c r="AD96" s="98"/>
      <c r="AE96" s="98"/>
      <c r="AF96" s="98"/>
      <c r="AG96" s="102"/>
    </row>
    <row r="97" spans="2:33" ht="171.6">
      <c r="B97" s="98">
        <f t="shared" si="1"/>
        <v>88</v>
      </c>
      <c r="C97" s="108" t="s">
        <v>665</v>
      </c>
      <c r="D97" s="98" t="s">
        <v>187</v>
      </c>
      <c r="E97" s="99"/>
      <c r="F97" s="99" t="s">
        <v>635</v>
      </c>
      <c r="G97" s="98" t="s">
        <v>213</v>
      </c>
      <c r="H97" s="99" t="s">
        <v>369</v>
      </c>
      <c r="I97" s="105" t="s">
        <v>374</v>
      </c>
      <c r="J97" s="101" t="s">
        <v>430</v>
      </c>
      <c r="K97" s="99"/>
      <c r="L97" s="101" t="s">
        <v>380</v>
      </c>
      <c r="M97" s="101" t="s">
        <v>379</v>
      </c>
      <c r="N97" s="98" t="s">
        <v>237</v>
      </c>
      <c r="O97" s="99" t="s">
        <v>288</v>
      </c>
      <c r="P97" s="98"/>
      <c r="Q97" s="98"/>
      <c r="R97" s="98"/>
      <c r="S97" s="98">
        <v>1</v>
      </c>
      <c r="T97" s="98">
        <v>1</v>
      </c>
      <c r="U97" s="98">
        <v>0</v>
      </c>
      <c r="V97" s="98">
        <v>0</v>
      </c>
      <c r="W97" s="98">
        <v>0</v>
      </c>
      <c r="X97" s="98">
        <v>0</v>
      </c>
      <c r="Y97" s="98">
        <v>0</v>
      </c>
      <c r="Z97" s="98" t="s">
        <v>325</v>
      </c>
      <c r="AA97" s="98"/>
      <c r="AB97" s="98"/>
      <c r="AC97" s="98"/>
      <c r="AD97" s="98"/>
      <c r="AE97" s="98"/>
      <c r="AF97" s="98"/>
      <c r="AG97" s="102"/>
    </row>
    <row r="98" spans="2:33" ht="171.6">
      <c r="B98" s="98">
        <f t="shared" si="1"/>
        <v>89</v>
      </c>
      <c r="C98" s="108" t="s">
        <v>665</v>
      </c>
      <c r="D98" s="98" t="s">
        <v>187</v>
      </c>
      <c r="E98" s="99"/>
      <c r="F98" s="99" t="s">
        <v>636</v>
      </c>
      <c r="G98" s="98" t="s">
        <v>213</v>
      </c>
      <c r="H98" s="99" t="s">
        <v>369</v>
      </c>
      <c r="I98" s="105" t="s">
        <v>376</v>
      </c>
      <c r="J98" s="101" t="s">
        <v>431</v>
      </c>
      <c r="K98" s="99"/>
      <c r="L98" s="101" t="s">
        <v>380</v>
      </c>
      <c r="M98" s="101" t="s">
        <v>379</v>
      </c>
      <c r="N98" s="98" t="s">
        <v>237</v>
      </c>
      <c r="O98" s="99" t="s">
        <v>288</v>
      </c>
      <c r="P98" s="98"/>
      <c r="Q98" s="98"/>
      <c r="R98" s="98"/>
      <c r="S98" s="98">
        <v>1</v>
      </c>
      <c r="T98" s="98">
        <v>1</v>
      </c>
      <c r="U98" s="98">
        <v>0</v>
      </c>
      <c r="V98" s="98">
        <v>0</v>
      </c>
      <c r="W98" s="98">
        <v>0</v>
      </c>
      <c r="X98" s="98">
        <v>0</v>
      </c>
      <c r="Y98" s="98">
        <v>0</v>
      </c>
      <c r="Z98" s="98" t="s">
        <v>325</v>
      </c>
      <c r="AA98" s="98"/>
      <c r="AB98" s="98"/>
      <c r="AC98" s="98"/>
      <c r="AD98" s="98"/>
      <c r="AE98" s="98"/>
      <c r="AF98" s="98"/>
      <c r="AG98" s="102"/>
    </row>
    <row r="99" spans="2:33" ht="171.6">
      <c r="B99" s="98">
        <f t="shared" si="1"/>
        <v>90</v>
      </c>
      <c r="C99" s="108" t="s">
        <v>665</v>
      </c>
      <c r="D99" s="98" t="s">
        <v>187</v>
      </c>
      <c r="E99" s="99"/>
      <c r="F99" s="99" t="s">
        <v>637</v>
      </c>
      <c r="G99" s="98" t="s">
        <v>213</v>
      </c>
      <c r="H99" s="99" t="s">
        <v>369</v>
      </c>
      <c r="I99" s="105" t="s">
        <v>378</v>
      </c>
      <c r="J99" s="101" t="s">
        <v>432</v>
      </c>
      <c r="K99" s="99"/>
      <c r="L99" s="101" t="s">
        <v>380</v>
      </c>
      <c r="M99" s="101" t="s">
        <v>379</v>
      </c>
      <c r="N99" s="98" t="s">
        <v>237</v>
      </c>
      <c r="O99" s="99" t="s">
        <v>288</v>
      </c>
      <c r="P99" s="98"/>
      <c r="Q99" s="98"/>
      <c r="R99" s="98"/>
      <c r="S99" s="98">
        <v>1</v>
      </c>
      <c r="T99" s="98">
        <v>1</v>
      </c>
      <c r="U99" s="98">
        <v>0</v>
      </c>
      <c r="V99" s="98">
        <v>0</v>
      </c>
      <c r="W99" s="98">
        <v>0</v>
      </c>
      <c r="X99" s="98">
        <v>0</v>
      </c>
      <c r="Y99" s="98">
        <v>0</v>
      </c>
      <c r="Z99" s="98" t="s">
        <v>325</v>
      </c>
      <c r="AA99" s="98"/>
      <c r="AB99" s="98"/>
      <c r="AC99" s="98"/>
      <c r="AD99" s="98"/>
      <c r="AE99" s="98"/>
      <c r="AF99" s="98"/>
      <c r="AG99" s="102"/>
    </row>
    <row r="100" spans="2:33" ht="171.6">
      <c r="B100" s="98">
        <f t="shared" si="1"/>
        <v>91</v>
      </c>
      <c r="C100" s="108" t="s">
        <v>665</v>
      </c>
      <c r="D100" s="98" t="s">
        <v>187</v>
      </c>
      <c r="E100" s="99"/>
      <c r="F100" s="99" t="s">
        <v>638</v>
      </c>
      <c r="G100" s="98" t="s">
        <v>213</v>
      </c>
      <c r="H100" s="99" t="s">
        <v>369</v>
      </c>
      <c r="I100" s="105" t="s">
        <v>384</v>
      </c>
      <c r="J100" s="101" t="s">
        <v>433</v>
      </c>
      <c r="K100" s="99"/>
      <c r="L100" s="101" t="s">
        <v>380</v>
      </c>
      <c r="M100" s="101" t="s">
        <v>379</v>
      </c>
      <c r="N100" s="98" t="s">
        <v>237</v>
      </c>
      <c r="O100" s="99" t="s">
        <v>288</v>
      </c>
      <c r="P100" s="98"/>
      <c r="Q100" s="98"/>
      <c r="R100" s="98"/>
      <c r="S100" s="98">
        <v>1</v>
      </c>
      <c r="T100" s="98">
        <v>1</v>
      </c>
      <c r="U100" s="98">
        <v>0</v>
      </c>
      <c r="V100" s="98">
        <v>0</v>
      </c>
      <c r="W100" s="98">
        <v>0</v>
      </c>
      <c r="X100" s="98">
        <v>0</v>
      </c>
      <c r="Y100" s="98">
        <v>0</v>
      </c>
      <c r="Z100" s="98" t="s">
        <v>325</v>
      </c>
      <c r="AA100" s="98"/>
      <c r="AB100" s="98"/>
      <c r="AC100" s="98"/>
      <c r="AD100" s="98"/>
      <c r="AE100" s="98"/>
      <c r="AF100" s="98"/>
      <c r="AG100" s="102"/>
    </row>
    <row r="101" spans="2:33" ht="171.6">
      <c r="B101" s="98">
        <f t="shared" si="1"/>
        <v>92</v>
      </c>
      <c r="C101" s="108" t="s">
        <v>666</v>
      </c>
      <c r="D101" s="98" t="s">
        <v>188</v>
      </c>
      <c r="E101" s="99"/>
      <c r="F101" s="99" t="s">
        <v>639</v>
      </c>
      <c r="G101" s="98" t="s">
        <v>213</v>
      </c>
      <c r="H101" s="99" t="s">
        <v>300</v>
      </c>
      <c r="I101" s="100" t="s">
        <v>386</v>
      </c>
      <c r="J101" s="101" t="s">
        <v>434</v>
      </c>
      <c r="K101" s="99"/>
      <c r="L101" s="101" t="s">
        <v>367</v>
      </c>
      <c r="M101" s="101" t="s">
        <v>370</v>
      </c>
      <c r="N101" s="98" t="s">
        <v>238</v>
      </c>
      <c r="O101" s="99" t="s">
        <v>288</v>
      </c>
      <c r="P101" s="98"/>
      <c r="Q101" s="98"/>
      <c r="R101" s="98"/>
      <c r="S101" s="98">
        <v>1</v>
      </c>
      <c r="T101" s="98">
        <v>1</v>
      </c>
      <c r="U101" s="98">
        <v>0</v>
      </c>
      <c r="V101" s="98">
        <v>0</v>
      </c>
      <c r="W101" s="98">
        <v>0</v>
      </c>
      <c r="X101" s="98">
        <v>0</v>
      </c>
      <c r="Y101" s="98">
        <v>0</v>
      </c>
      <c r="Z101" s="98" t="s">
        <v>325</v>
      </c>
      <c r="AA101" s="98"/>
      <c r="AB101" s="98"/>
      <c r="AC101" s="98"/>
      <c r="AD101" s="98"/>
      <c r="AE101" s="98"/>
      <c r="AF101" s="98"/>
      <c r="AG101" s="102"/>
    </row>
    <row r="102" spans="2:33" ht="171.6">
      <c r="B102" s="98">
        <f t="shared" si="1"/>
        <v>93</v>
      </c>
      <c r="C102" s="108" t="s">
        <v>666</v>
      </c>
      <c r="D102" s="98" t="s">
        <v>188</v>
      </c>
      <c r="E102" s="99"/>
      <c r="F102" s="99" t="s">
        <v>640</v>
      </c>
      <c r="G102" s="98" t="s">
        <v>213</v>
      </c>
      <c r="H102" s="99" t="s">
        <v>300</v>
      </c>
      <c r="I102" s="100" t="s">
        <v>387</v>
      </c>
      <c r="J102" s="101" t="s">
        <v>435</v>
      </c>
      <c r="K102" s="99"/>
      <c r="L102" s="101" t="s">
        <v>367</v>
      </c>
      <c r="M102" s="101" t="s">
        <v>370</v>
      </c>
      <c r="N102" s="98" t="s">
        <v>238</v>
      </c>
      <c r="O102" s="99" t="s">
        <v>288</v>
      </c>
      <c r="P102" s="98"/>
      <c r="Q102" s="98"/>
      <c r="R102" s="98"/>
      <c r="S102" s="98">
        <v>1</v>
      </c>
      <c r="T102" s="98">
        <v>1</v>
      </c>
      <c r="U102" s="98">
        <v>0</v>
      </c>
      <c r="V102" s="98">
        <v>0</v>
      </c>
      <c r="W102" s="98">
        <v>0</v>
      </c>
      <c r="X102" s="98">
        <v>0</v>
      </c>
      <c r="Y102" s="98">
        <v>0</v>
      </c>
      <c r="Z102" s="98" t="s">
        <v>325</v>
      </c>
      <c r="AA102" s="98"/>
      <c r="AB102" s="98"/>
      <c r="AC102" s="98"/>
      <c r="AD102" s="98"/>
      <c r="AE102" s="98"/>
      <c r="AF102" s="98"/>
      <c r="AG102" s="102"/>
    </row>
    <row r="103" spans="2:33" ht="171.6">
      <c r="B103" s="98">
        <f t="shared" si="1"/>
        <v>94</v>
      </c>
      <c r="C103" s="108" t="s">
        <v>667</v>
      </c>
      <c r="D103" s="98" t="s">
        <v>189</v>
      </c>
      <c r="E103" s="99"/>
      <c r="F103" s="99" t="s">
        <v>641</v>
      </c>
      <c r="G103" s="98" t="s">
        <v>213</v>
      </c>
      <c r="H103" s="99" t="s">
        <v>369</v>
      </c>
      <c r="I103" s="105" t="s">
        <v>385</v>
      </c>
      <c r="J103" s="101" t="s">
        <v>435</v>
      </c>
      <c r="K103" s="99"/>
      <c r="L103" s="101" t="s">
        <v>381</v>
      </c>
      <c r="M103" s="101" t="s">
        <v>382</v>
      </c>
      <c r="N103" s="98" t="s">
        <v>238</v>
      </c>
      <c r="O103" s="99" t="s">
        <v>288</v>
      </c>
      <c r="P103" s="98"/>
      <c r="Q103" s="98"/>
      <c r="R103" s="98"/>
      <c r="S103" s="98">
        <v>1</v>
      </c>
      <c r="T103" s="98">
        <v>1</v>
      </c>
      <c r="U103" s="98">
        <v>0</v>
      </c>
      <c r="V103" s="98">
        <v>0</v>
      </c>
      <c r="W103" s="98">
        <v>0</v>
      </c>
      <c r="X103" s="98">
        <v>0</v>
      </c>
      <c r="Y103" s="98">
        <v>0</v>
      </c>
      <c r="Z103" s="98" t="s">
        <v>325</v>
      </c>
      <c r="AA103" s="98"/>
      <c r="AB103" s="98"/>
      <c r="AC103" s="98"/>
      <c r="AD103" s="98"/>
      <c r="AE103" s="98"/>
      <c r="AF103" s="98"/>
      <c r="AG103" s="102"/>
    </row>
    <row r="104" spans="2:33" ht="171.6">
      <c r="B104" s="98">
        <f t="shared" ref="B104" si="2">IF(ISBLANK($D104),"",ROW()-9)</f>
        <v>95</v>
      </c>
      <c r="C104" s="108" t="s">
        <v>667</v>
      </c>
      <c r="D104" s="98" t="s">
        <v>189</v>
      </c>
      <c r="E104" s="99"/>
      <c r="F104" s="99" t="s">
        <v>642</v>
      </c>
      <c r="G104" s="98" t="s">
        <v>213</v>
      </c>
      <c r="H104" s="99" t="s">
        <v>369</v>
      </c>
      <c r="I104" s="105" t="s">
        <v>388</v>
      </c>
      <c r="J104" s="101" t="s">
        <v>435</v>
      </c>
      <c r="K104" s="99"/>
      <c r="L104" s="101" t="s">
        <v>381</v>
      </c>
      <c r="M104" s="101" t="s">
        <v>382</v>
      </c>
      <c r="N104" s="98" t="s">
        <v>238</v>
      </c>
      <c r="O104" s="99" t="s">
        <v>288</v>
      </c>
      <c r="P104" s="98"/>
      <c r="Q104" s="98"/>
      <c r="R104" s="98"/>
      <c r="S104" s="98">
        <v>1</v>
      </c>
      <c r="T104" s="98">
        <v>1</v>
      </c>
      <c r="U104" s="98">
        <v>0</v>
      </c>
      <c r="V104" s="98">
        <v>0</v>
      </c>
      <c r="W104" s="98">
        <v>0</v>
      </c>
      <c r="X104" s="98">
        <v>0</v>
      </c>
      <c r="Y104" s="98">
        <v>0</v>
      </c>
      <c r="Z104" s="98" t="s">
        <v>325</v>
      </c>
      <c r="AA104" s="98"/>
      <c r="AB104" s="98"/>
      <c r="AC104" s="98"/>
      <c r="AD104" s="98"/>
      <c r="AE104" s="98"/>
      <c r="AF104" s="98"/>
      <c r="AG104" s="102"/>
    </row>
  </sheetData>
  <mergeCells count="4">
    <mergeCell ref="S8:Y8"/>
    <mergeCell ref="AA7:AG7"/>
    <mergeCell ref="A1:AD1"/>
    <mergeCell ref="B7:Z7"/>
  </mergeCells>
  <phoneticPr fontId="4" type="noConversion"/>
  <hyperlinks>
    <hyperlink ref="C10" r:id="rId1" location="/project/NR1L/workitem?id=NRL-87668" xr:uid="{96F19C13-0273-40F8-92AD-301BA4422B51}"/>
    <hyperlink ref="C14" r:id="rId2" location="/project/NR1L/workitem?id=NRL-87669" xr:uid="{0990F3A7-40A4-414B-805C-8784DE426293}"/>
    <hyperlink ref="C17" r:id="rId3" location="/project/NR1L/workitem?id=NRL-87670" xr:uid="{D84B7243-3D0C-4204-A40C-6F510E60C4ED}"/>
    <hyperlink ref="C11" r:id="rId4" location="/project/NR1L/workitem?id=NRL-87668" xr:uid="{27D5F7FD-7A36-4527-805F-02E994976752}"/>
    <hyperlink ref="C12" r:id="rId5" location="/project/NR1L/workitem?id=NRL-87668" xr:uid="{2436AFB8-B736-47BF-986A-95AFC3FFE103}"/>
    <hyperlink ref="C13" r:id="rId6" location="/project/NR1L/workitem?id=NRL-87668" xr:uid="{51658EEB-025A-4CD6-A440-5FFAB0BE67DF}"/>
    <hyperlink ref="C20" r:id="rId7" location="/project/NR1L/workitem?id=NRL-87671" xr:uid="{E82D9271-1C53-47EA-9B43-780678AC4BF8}"/>
    <hyperlink ref="C25" r:id="rId8" location="/project/NR1L/workitem?id=NRL-87672" xr:uid="{57D8D315-26A8-4849-B0AD-2D0C052438E1}"/>
    <hyperlink ref="C16" r:id="rId9" location="/project/NR1L/workitem?id=NRL-87669" xr:uid="{BE8C2E90-2B5C-438C-AD4B-ED055D46B5AB}"/>
    <hyperlink ref="C15" r:id="rId10" location="/project/NR1L/workitem?id=NRL-87669" xr:uid="{8613FF75-D57D-4FBD-88C2-71B496347787}"/>
    <hyperlink ref="C19" r:id="rId11" location="/project/NR1L/workitem?id=NRL-87670" xr:uid="{A4EC9EED-E6F1-4053-BFE7-68A2BB66F61C}"/>
    <hyperlink ref="C18" r:id="rId12" location="/project/NR1L/workitem?id=NRL-87670" xr:uid="{D0A8B5A7-3A15-4AC4-AC55-BA2D8C573C07}"/>
    <hyperlink ref="C22" r:id="rId13" location="/project/NR1L/workitem?id=NRL-87671" xr:uid="{2BE9504F-6B7B-4E5B-8769-3F462C04B834}"/>
    <hyperlink ref="C21" r:id="rId14" location="/project/NR1L/workitem?id=NRL-87671" xr:uid="{C07B331A-72EF-45B0-A1E3-BB6A9CDDBD37}"/>
    <hyperlink ref="C24" r:id="rId15" location="/project/NR1L/workitem?id=NRL-87672" xr:uid="{F426C187-09B3-4F1B-BA36-8DA690DFD676}"/>
    <hyperlink ref="C23" r:id="rId16" location="/project/NR1L/workitem?id=NRL-87672" xr:uid="{93048A6F-A3D3-4529-BD1C-52026789E695}"/>
    <hyperlink ref="C26" r:id="rId17" location="/project/NR1L/workitem?id=NRL-87674" xr:uid="{37567F1B-FCBF-451D-A282-892E972FF92C}"/>
    <hyperlink ref="C27" r:id="rId18" location="/project/NR1L/workitem?id=NRL-87675" xr:uid="{5113FDD3-FBBE-4DD0-8765-F83E2C771949}"/>
    <hyperlink ref="C28" r:id="rId19" location="/project/NR1L/workitem?id=NRL-87676" xr:uid="{FFD9B924-B6BC-492E-9257-54B6B1B6A900}"/>
    <hyperlink ref="C29" r:id="rId20" location="/project/NR1L/workitem?id=NRL-87678" xr:uid="{7FDB1644-A9AF-4626-9CDE-F48F4FCDFE0E}"/>
    <hyperlink ref="C30" r:id="rId21" location="/project/NR1L/workitem?id=NRL-87679" xr:uid="{ADF86F0A-5611-4475-901E-FF5DF7F9D8A0}"/>
    <hyperlink ref="C31" r:id="rId22" location="/project/NR1L/workitem?id=NRL-87681" xr:uid="{7DA8AA96-0DF5-4B28-9F0F-5A3BE1EAAFDC}"/>
    <hyperlink ref="C32" r:id="rId23" location="/project/NR1L/workitem?id=NRL-87682" xr:uid="{358586D0-57DD-4BE1-9AD2-0FB4DDE12E3F}"/>
    <hyperlink ref="C33" r:id="rId24" location="/project/NR1L/workitem?id=NRL-87684" xr:uid="{BC241059-9A56-43B0-9734-EB1703462E58}"/>
    <hyperlink ref="C35" r:id="rId25" location="/project/NR1L/workitem?id=NRL-87685" xr:uid="{40DEA075-C164-4B59-BE58-E5A9F1688BC8}"/>
    <hyperlink ref="C36" r:id="rId26" location="/project/NR1L/workitem?id=NRL-87687" xr:uid="{12F2CCD3-A641-4754-930E-017124B58EE4}"/>
    <hyperlink ref="C37" r:id="rId27" location="/project/NR1L/workitem?id=NRL-87688" xr:uid="{2F78F4AB-3CF2-48DA-9115-53696FEBD3DB}"/>
    <hyperlink ref="C40" r:id="rId28" location="/project/NR1L/workitem?id=NRL-87689" xr:uid="{34136BA6-4AC8-4F40-8D63-AB8E95F70C90}"/>
    <hyperlink ref="C41" r:id="rId29" location="/project/NR1L/workitem?id=NRL-87690" xr:uid="{2F6F4757-1D5A-45AC-BFF8-54AD287EA01B}"/>
    <hyperlink ref="C45" r:id="rId30" location="/project/NR1L/workitem?id=NRL-87691" xr:uid="{3A8DEEFB-C59B-4290-BD32-BC15A4A15491}"/>
    <hyperlink ref="C34" r:id="rId31" location="/project/NR1L/workitem?id=NRL-87685" xr:uid="{932BDB9D-5B97-49EA-91D8-5F8B944CC443}"/>
    <hyperlink ref="C38" r:id="rId32" location="/project/NR1L/workitem?id=NRL-87688" xr:uid="{82243633-B8EB-4FE3-8207-DBA6F2782475}"/>
    <hyperlink ref="C39" r:id="rId33" location="/project/NR1L/workitem?id=NRL-87688" xr:uid="{91B9B3D8-065C-47DD-AA9E-1F2584F35284}"/>
    <hyperlink ref="C42" r:id="rId34" location="/project/NR1L/workitem?id=NRL-87690" xr:uid="{730C3F5C-9890-4371-B535-D51E7C2C63D3}"/>
    <hyperlink ref="C43" r:id="rId35" location="/project/NR1L/workitem?id=NRL-87691" xr:uid="{D411A40B-6D6A-4967-A4BD-EB29C4784E5D}"/>
    <hyperlink ref="C44" r:id="rId36" location="/project/NR1L/workitem?id=NRL-87691" xr:uid="{DFBEFC35-6C01-40BD-BEF3-81C7A409C5FF}"/>
    <hyperlink ref="C46" r:id="rId37" location="/project/NR1L/workitem?id=NRL-87692" xr:uid="{1B359C8F-580A-40D6-8FEA-BEBF1A57BEBF}"/>
    <hyperlink ref="C50" r:id="rId38" location="/project/NR1L/workitem?id=NRL-87694" xr:uid="{D4921EA1-4FFB-484B-BAF9-602AD9CBFF30}"/>
    <hyperlink ref="C47" r:id="rId39" location="/project/NR1L/workitem?id=NRL-87692" xr:uid="{D51F2C59-7CE4-4B4B-94FB-A177CE5799FB}"/>
    <hyperlink ref="C49" r:id="rId40" location="/project/NR1L/workitem?id=NRL-87692" xr:uid="{74CE28B1-C552-476D-A428-02063B506808}"/>
    <hyperlink ref="C48" r:id="rId41" location="/project/NR1L/workitem?id=NRL-87692" xr:uid="{B48A2E0C-285A-40EC-B9D3-D8A4C73BB8E2}"/>
    <hyperlink ref="C53" r:id="rId42" location="/project/NR1L/workitem?id=NRL-87695" xr:uid="{F94700A1-3E8D-4168-9F39-B008A00BAB0B}"/>
    <hyperlink ref="C51" r:id="rId43" location="/project/NR1L/workitem?id=NRL-87694" xr:uid="{21113E23-D553-4546-9397-B779D74B4FB1}"/>
    <hyperlink ref="C52" r:id="rId44" location="/project/NR1L/workitem?id=NRL-87695" xr:uid="{5576775E-15F8-42C2-B838-42E04DC26066}"/>
    <hyperlink ref="C54" r:id="rId45" location="/project/NR1L/workitem?id=NRL-87696" xr:uid="{34A2D883-8F7B-FA41-AEE9-F6C07B637994}"/>
    <hyperlink ref="C55" r:id="rId46" location="/project/NR1L/workitem?id=NRL-87696" xr:uid="{4DBE0FB1-381D-564B-8DB9-D89065A9440E}"/>
    <hyperlink ref="C56" r:id="rId47" location="/project/NR1L/workitem?id=NRL-87696" xr:uid="{47722A43-AB6E-BF40-B32D-5F019245ACC8}"/>
    <hyperlink ref="C57" r:id="rId48" location="/project/NR1L/workitem?id=NRL-87696" xr:uid="{73A16C9D-63D9-EF49-8F9F-AF54783C6089}"/>
    <hyperlink ref="C58" r:id="rId49" location="/project/NR1L/workitem?id=NRL-87698" xr:uid="{60874C94-22F8-AF41-A53D-3F46BF00175E}"/>
    <hyperlink ref="C59" r:id="rId50" location="/project/NR1L/workitem?id=NRL-87698" xr:uid="{6E578F3A-F4B8-F947-944E-F37B737A4306}"/>
    <hyperlink ref="C60" r:id="rId51" location="/project/NR1L/workitem?id=NRL-87698" xr:uid="{6F033595-95B7-F04D-8DA5-86D44C290DEA}"/>
    <hyperlink ref="C61" r:id="rId52" location="/project/NR1L/workitem?id=NRL-87698" xr:uid="{04457B38-AB16-1C46-9D84-E897F2AA3A52}"/>
    <hyperlink ref="C62" r:id="rId53" location="/project/NR1L/workitem?id=NRL-87699" xr:uid="{519A0304-3C52-0047-90FE-E524D89F02F6}"/>
    <hyperlink ref="C63" r:id="rId54" location="/project/NR1L/workitem?id=NRL-87699" xr:uid="{369D760B-4DE3-254D-9577-7C1B3ED614C4}"/>
    <hyperlink ref="C64" r:id="rId55" location="/project/NR1L/workitem?id=NRL-87699" xr:uid="{E428C5E9-8AEF-874B-B6AA-7C13A27C68A1}"/>
    <hyperlink ref="C65" r:id="rId56" location="/project/NR1L/workitem?id=NRL-87701" xr:uid="{AB4AE943-C875-4F4B-8B50-CC7124477430}"/>
    <hyperlink ref="C66" r:id="rId57" location="/project/NR1L/workitem?id=NRL-87701" xr:uid="{7AAE9B3D-46FD-0F42-9EDB-0DC979D48744}"/>
    <hyperlink ref="C67" r:id="rId58" location="/project/NR1L/workitem?id=NRL-87702" xr:uid="{7025AB42-CC04-F244-B527-D3C7413FA185}"/>
    <hyperlink ref="C68" r:id="rId59" location="/project/NR1L/workitem?id=NRL-87703" xr:uid="{54F4E1E0-39E5-1B44-A7BD-74BFB0DF3814}"/>
    <hyperlink ref="C69" r:id="rId60" location="/project/NR1L/workitem?id=NRL-87703" xr:uid="{5E4965A2-8047-854E-9645-C2AAF78A85AB}"/>
    <hyperlink ref="C70" r:id="rId61" location="/project/NR1L/workitem?id=NRL-87703" xr:uid="{46C9079F-E931-D640-B279-AE1AF53C5DE1}"/>
    <hyperlink ref="C71" r:id="rId62" location="/project/NR1L/workitem?id=NRL-87703" xr:uid="{FECD6CEC-19C7-154C-A2FE-78E3E53C5AB8}"/>
    <hyperlink ref="C72" r:id="rId63" location="/project/NR1L/workitem?id=NRL-87704" xr:uid="{125DC905-000B-BF4D-9190-03EA81D8CE22}"/>
    <hyperlink ref="C73:C74" r:id="rId64" location="/project/NR1L/workitem?id=NRL-87704" display="NRL-87704" xr:uid="{12AE07A3-B80A-2F49-864C-07BF5823545E}"/>
    <hyperlink ref="C75" r:id="rId65" location="/project/NR1L/workitem?id=NRL-87706" xr:uid="{F32112B9-E4AB-7E4A-BC8B-C632F70E1F70}"/>
    <hyperlink ref="C76" r:id="rId66" location="/project/NR1L/workitem?id=NRL-87706" xr:uid="{8575CD68-4045-2546-B821-646A6A3F308F}"/>
    <hyperlink ref="C77" r:id="rId67" location="/project/NR1L/workitem?id=NRL-87707" xr:uid="{5AEB41BE-F31E-EA49-A887-62F0C83804EC}"/>
    <hyperlink ref="C78" r:id="rId68" location="/project/NR1L/workitem?id=NRL-87707" xr:uid="{C78C3164-5CED-2D44-8665-D3B524584FB0}"/>
    <hyperlink ref="C79" r:id="rId69" location="/project/NR1L/workitem?id=NRL-87708" xr:uid="{C7A2ED53-B679-D74B-8289-D4171FE24B86}"/>
    <hyperlink ref="C80" r:id="rId70" location="/project/NR1L/workitem?id=NRL-87710" xr:uid="{E49DC432-D29A-E645-874E-E5402F68C103}"/>
    <hyperlink ref="C81" r:id="rId71" location="/project/NR1L/workitem?id=NRL-87711" xr:uid="{6589B9BC-E42F-B545-B136-0B2A208050D4}"/>
    <hyperlink ref="C82" r:id="rId72" location="/project/NR1L/workitem?id=NRL-87712" xr:uid="{FC609B21-85CA-F14F-BD49-7AED6217B5A6}"/>
    <hyperlink ref="C83" r:id="rId73" location="/project/NR1L/workitem?id=NRL-87713" xr:uid="{D2F6E5A1-82F4-E747-8D41-464E55FC8A0B}"/>
    <hyperlink ref="C84" r:id="rId74" location="/project/NR1L/workitem?id=NRL-87713" xr:uid="{F16FD64B-B6E0-5149-A944-CED465C57669}"/>
    <hyperlink ref="C85" r:id="rId75" location="/project/NR1L/workitem?id=NRL-87714" xr:uid="{C3F32999-036B-6447-A956-9BAC36D1B8E8}"/>
    <hyperlink ref="C86" r:id="rId76" location="/project/NR1L/workitem?id=NRL-87715" xr:uid="{1B2D25D1-9843-4949-86B0-57C4FA828D67}"/>
    <hyperlink ref="C87" r:id="rId77" location="/project/NR1L/workitem?id=NRL-87716" xr:uid="{E8773306-7318-594B-A593-489595E2A812}"/>
    <hyperlink ref="C88" r:id="rId78" location="/project/NR1L/workitem?id=NRL-87717" xr:uid="{7B35F5F9-4B26-4D47-B95D-E705DDCBED3D}"/>
    <hyperlink ref="C89" r:id="rId79" location="/project/NR1L/workitem?id=NRL-87718" xr:uid="{E1362F2A-942A-E24D-826C-AF51554364C0}"/>
    <hyperlink ref="C90" r:id="rId80" location="/project/NR1L/workitem?id=NRL-87718" xr:uid="{DD21EB0C-A057-FF47-8A41-054A1DB55E42}"/>
    <hyperlink ref="C91" r:id="rId81" location="/project/NR1L/workitem?id=NRL-87720" xr:uid="{3CE8A0D2-F375-E047-A31D-C8599FBA099B}"/>
    <hyperlink ref="C92" r:id="rId82" location="/project/NR1L/workitem?id=NRL-87720" xr:uid="{5B216DC9-BF83-DB4A-821B-2BDBD804869A}"/>
    <hyperlink ref="C93:C94" r:id="rId83" location="/project/NR1L/workitem?id=NRL-87720" display="NRL-87720" xr:uid="{68B50477-9AC4-DD4C-9CA2-8A4A737656F9}"/>
    <hyperlink ref="C95" r:id="rId84" location="/project/NR1L/workitem?id=NRL-87720" xr:uid="{55FBE3B2-A3C2-2A45-ADC9-77C2D4CC87C0}"/>
    <hyperlink ref="C96" r:id="rId85" location="/project/NR1L/workitem?id=NRL-87721" xr:uid="{6758AA4B-61BD-3949-A132-D6D132D1499D}"/>
    <hyperlink ref="C97" r:id="rId86" location="/project/NR1L/workitem?id=NRL-87721" xr:uid="{63DE5841-6764-F54C-9785-6C4381B5AB60}"/>
    <hyperlink ref="C98" r:id="rId87" location="/project/NR1L/workitem?id=NRL-87721" xr:uid="{53165A1D-9B0F-1548-A466-57A15189C1D7}"/>
    <hyperlink ref="C99:C100" r:id="rId88" location="/project/NR1L/workitem?id=NRL-87721" display="NRL-87721" xr:uid="{5EAB0563-C129-7246-A253-D401539AF4A3}"/>
    <hyperlink ref="C101" r:id="rId89" location="/project/NR1L/workitem?id=NRL-87723" xr:uid="{0F9D0001-CBF3-6045-AA0C-AAC9F1D6A271}"/>
    <hyperlink ref="C102" r:id="rId90" location="/project/NR1L/workitem?id=NRL-87723" xr:uid="{5B67BA47-7080-9946-8E4E-6E26CADFB8E6}"/>
    <hyperlink ref="C103" r:id="rId91" location="/project/NR1L/workitem?id=NRL-87724" xr:uid="{2BEF8491-4BFC-C64B-9D09-9D0ABD021F6F}"/>
    <hyperlink ref="C104" r:id="rId92" location="/project/NR1L/workitem?id=NRL-87724" xr:uid="{C82B1220-259B-1A42-8E92-3130CA261C92}"/>
  </hyperlinks>
  <pageMargins left="0.7" right="0.7" top="0.75" bottom="0.75" header="0.3" footer="0.3"/>
  <pageSetup paperSize="9" orientation="portrait" r:id="rId93"/>
  <drawing r:id="rId94"/>
  <legacyDrawing r:id="rId9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6C5EF54-F0EE-4403-B9D9-574A725DE20E}">
          <x14:formula1>
            <xm:f>下拉選單!$A$1:$A$11</xm:f>
          </x14:formula1>
          <xm:sqref>Q54:Q86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defaultColWidth="8.77734375" defaultRowHeight="14.4"/>
  <cols>
    <col min="1" max="2" width="8.77734375" style="22"/>
    <col min="3" max="3" width="46.109375" style="22" customWidth="1"/>
    <col min="4" max="4" width="60.44140625" style="22" customWidth="1"/>
    <col min="5" max="5" width="55.109375" style="22" bestFit="1" customWidth="1"/>
    <col min="6" max="16384" width="8.77734375" style="22"/>
  </cols>
  <sheetData>
    <row r="3" spans="2:6" s="21" customFormat="1">
      <c r="B3" s="21" t="s">
        <v>18</v>
      </c>
      <c r="C3" s="40" t="s">
        <v>70</v>
      </c>
    </row>
    <row r="4" spans="2:6" s="21" customFormat="1">
      <c r="B4" s="21">
        <v>1</v>
      </c>
      <c r="C4" s="30" t="s">
        <v>43</v>
      </c>
    </row>
    <row r="5" spans="2:6" ht="15">
      <c r="B5" s="21">
        <v>2</v>
      </c>
      <c r="C5" s="24" t="s">
        <v>44</v>
      </c>
      <c r="D5" s="24" t="s">
        <v>41</v>
      </c>
      <c r="E5" s="23" t="s">
        <v>33</v>
      </c>
    </row>
    <row r="6" spans="2:6" ht="15">
      <c r="B6" s="21">
        <v>3</v>
      </c>
      <c r="C6" s="23" t="s">
        <v>45</v>
      </c>
      <c r="D6" s="22" t="s">
        <v>30</v>
      </c>
    </row>
    <row r="7" spans="2:6" ht="15">
      <c r="B7" s="21">
        <v>4</v>
      </c>
      <c r="C7" s="23" t="s">
        <v>46</v>
      </c>
      <c r="D7" s="22" t="s">
        <v>31</v>
      </c>
      <c r="E7" s="23" t="s">
        <v>34</v>
      </c>
    </row>
    <row r="8" spans="2:6" ht="15">
      <c r="B8" s="21">
        <v>5</v>
      </c>
      <c r="C8" s="23" t="s">
        <v>47</v>
      </c>
      <c r="D8" s="28" t="s">
        <v>42</v>
      </c>
      <c r="E8" s="23" t="s">
        <v>37</v>
      </c>
    </row>
    <row r="9" spans="2:6" ht="15">
      <c r="B9" s="21">
        <v>6</v>
      </c>
      <c r="C9" s="23" t="s">
        <v>69</v>
      </c>
      <c r="D9" s="23" t="s">
        <v>40</v>
      </c>
      <c r="E9" s="29" t="s">
        <v>36</v>
      </c>
    </row>
    <row r="10" spans="2:6" ht="15">
      <c r="B10" s="21">
        <v>7</v>
      </c>
      <c r="C10" s="23" t="s">
        <v>48</v>
      </c>
      <c r="D10" s="28" t="s">
        <v>32</v>
      </c>
      <c r="E10" s="23" t="s">
        <v>35</v>
      </c>
      <c r="F10" s="25"/>
    </row>
    <row r="11" spans="2:6" ht="15">
      <c r="B11" s="21">
        <v>8</v>
      </c>
      <c r="C11" s="23" t="s">
        <v>49</v>
      </c>
      <c r="D11" s="28" t="s">
        <v>39</v>
      </c>
    </row>
    <row r="12" spans="2:6" ht="15">
      <c r="B12" s="21">
        <v>9</v>
      </c>
      <c r="C12" s="23" t="s">
        <v>50</v>
      </c>
      <c r="D12" s="23" t="s">
        <v>38</v>
      </c>
    </row>
    <row r="13" spans="2:6" ht="15">
      <c r="B13" s="21"/>
      <c r="C13" s="23"/>
      <c r="D13" s="28"/>
    </row>
    <row r="14" spans="2:6">
      <c r="B14" s="21"/>
      <c r="C14" s="23"/>
    </row>
    <row r="16" spans="2:6">
      <c r="D16" s="23"/>
    </row>
    <row r="19" spans="3:3" ht="15">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defaultColWidth="9" defaultRowHeight="15.6"/>
  <cols>
    <col min="1" max="1" width="3.6640625" style="37" customWidth="1"/>
    <col min="2" max="2" width="108" style="38" customWidth="1"/>
    <col min="3" max="16384" width="9" style="38"/>
  </cols>
  <sheetData>
    <row r="1" spans="1:2">
      <c r="A1" s="187" t="s">
        <v>68</v>
      </c>
      <c r="B1" s="187"/>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defaultColWidth="8.77734375" defaultRowHeight="16.2"/>
  <sheetData>
    <row r="1" spans="1:1">
      <c r="A1" s="31" t="s">
        <v>51</v>
      </c>
    </row>
    <row r="2" spans="1:1">
      <c r="A2" s="32" t="s">
        <v>57</v>
      </c>
    </row>
    <row r="3" spans="1:1">
      <c r="A3" s="32" t="s">
        <v>52</v>
      </c>
    </row>
    <row r="4" spans="1:1">
      <c r="A4" s="32" t="s">
        <v>53</v>
      </c>
    </row>
    <row r="5" spans="1:1">
      <c r="A5" s="32" t="s">
        <v>58</v>
      </c>
    </row>
    <row r="6" spans="1:1">
      <c r="A6" s="32" t="s">
        <v>71</v>
      </c>
    </row>
    <row r="7" spans="1:1">
      <c r="A7" s="32" t="s">
        <v>54</v>
      </c>
    </row>
    <row r="8" spans="1:1">
      <c r="A8" s="32" t="s">
        <v>55</v>
      </c>
    </row>
    <row r="9" spans="1:1">
      <c r="A9" s="32" t="s">
        <v>56</v>
      </c>
    </row>
    <row r="10" spans="1:1">
      <c r="A10" s="20"/>
    </row>
    <row r="11" spans="1:1">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2026-01-05T08:56:43Z</dcterms:modified>
</cp:coreProperties>
</file>