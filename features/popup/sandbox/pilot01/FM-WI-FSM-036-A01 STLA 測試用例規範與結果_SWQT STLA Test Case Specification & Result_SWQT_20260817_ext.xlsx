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<sst xmlns="http://schemas.openxmlformats.org/spreadsheetml/2006/main" count="156" uniqueCount="146">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</sst>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3: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s">
        <v>145</v>
      </c>
      <c r="E6" s="155"/>
      <c r="F6" s="156"/>
      <c r="G6" s="157" t="s">
        <v>82</v>
      </c>
      <c r="H6" s="158"/>
    </row>
    <row r="7" spans="1:8" ht="16.25" customHeight="1">
      <c r="A7" s="58"/>
      <c r="B7" s="58"/>
      <c r="C7" s="59" t="s">
        <v>83</v>
      </c>
      <c r="D7" s="159" t="s">
        <v>86</v>
      </c>
      <c r="E7" s="160"/>
      <c r="F7" s="161"/>
      <c r="G7" s="162"/>
      <c r="H7" s="163"/>
    </row>
    <row r="8" spans="1:8" ht="16.25" customHeight="1" thickBot="1">
      <c r="A8" s="58"/>
      <c r="B8" s="58"/>
      <c r="C8" s="59" t="s">
        <v>84</v>
      </c>
      <c r="D8" s="134" t="s">
        <v>87</v>
      </c>
      <c r="E8" s="135"/>
      <c r="F8" s="136"/>
      <c r="G8" s="162"/>
      <c r="H8" s="163"/>
    </row>
    <row r="9" spans="1:8" ht="17" customHeight="1" thickBot="1">
      <c r="A9" s="58"/>
      <c r="B9" s="58"/>
      <c r="C9" s="60" t="s">
        <v>85</v>
      </c>
      <c r="D9" s="134"/>
      <c r="E9" s="135"/>
      <c r="F9" s="136"/>
      <c r="G9" s="137"/>
      <c r="H9" s="138"/>
    </row>
    <row r="11" spans="1:8" ht="17" thickBot="1"/>
    <row r="12" spans="1:8" ht="17" thickTop="1">
      <c r="C12" s="139" t="s">
        <v>125</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c r="C3" s="173"/>
      <c r="D3" s="173"/>
      <c r="E3" s="95"/>
      <c r="F3" s="95"/>
      <c r="G3" s="95"/>
      <c r="H3" s="95"/>
    </row>
    <row r="4" spans="1:8" ht="33">
      <c r="A4" s="94" t="s">
        <v>114</v>
      </c>
      <c r="B4" s="173"/>
      <c r="C4" s="173"/>
      <c r="D4" s="173"/>
    </row>
    <row r="5" spans="1:8" ht="33">
      <c r="A5" s="94" t="s">
        <v>115</v>
      </c>
      <c r="B5" s="173"/>
      <c r="C5" s="173"/>
      <c r="D5" s="173"/>
    </row>
    <row r="6" spans="1:8" ht="33">
      <c r="A6" s="94" t="s">
        <v>116</v>
      </c>
      <c r="B6" s="173"/>
      <c r="C6" s="173"/>
      <c r="D6" s="173"/>
    </row>
    <row r="7" spans="1:8" ht="33">
      <c r="A7" s="94" t="s">
        <v>117</v>
      </c>
      <c r="B7" s="173"/>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c r="B13" s="97"/>
      <c r="C13" s="97"/>
      <c r="D13" s="97"/>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SWE1-POP-002-01</t>
        </is>
      </c>
      <c r="E10" s="81"/>
      <c r="F10" s="81" t="inlineStr">
        <is>
          <t xml:space="preserve">newR1L-POP-001</t>
        </is>
      </c>
      <c r="G10" s="81" t="inlineStr">
        <is>
          <t xml:space="preserve">Popup</t>
        </is>
      </c>
      <c r="H10" s="81" t="inlineStr">
        <is>
          <t xml:space="preserve">Pop-up Close</t>
        </is>
      </c>
      <c r="I10" s="81" t="inlineStr">
        <is>
          <t xml:space="preserve">Pop-ups can be closed after time-out (timeout is defined in Pop-up List document)
(Time-out closure of PU0942, 5 s)</t>
        </is>
      </c>
      <c r="J10" s="81" t="inlineStr">
        <is>
          <t xml:space="preserve">1. The vehicle is stationary with the ignition in RUN
2. The Home Screen is displayed</t>
        </is>
      </c>
      <c r="K10" s="81" t="inlineStr">
        <is>
          <t xml:space="preserve">Time-out = 5 s, as defined by PU0942 Timeout (sec)</t>
        </is>
      </c>
      <c r="L10" s="81" t="inlineStr">
        <is>
          <t xml:space="preserve">1. Enter the Home Screen page-management view and add a home screen page
2. Leave the screen and all buttons untouched for 10 seconds after the pop-up appears
3. Read the pop-up display status and the elapsed time at the moment the pop-up disappears</t>
        </is>
      </c>
      <c r="M10" s="81" t="inlineStr">
        <is>
          <t xml:space="preserve">1. The pop-up is displayed showing `&lt;X&gt;` and `Page added! [Reorder]`, as defined by PU0942 String/Popup Message
2. No user interaction is registered during the 10-second window
3. The pop-up closes by itself 5 seconds after it appeared, matching the Time-out defined by PU0942 Timeout (sec), and the Home Screen is shown without the pop-up</t>
        </is>
      </c>
      <c r="N10" s="81" t="inlineStr">
        <is>
          <t xml:space="preserve">SYS1_HMI_Core_HMI_Logic_and_Flow_R1_SR24_Post_2A_(February_2_2023)_5.6</t>
        </is>
      </c>
      <c r="O10" s="81" t="inlineStr">
        <is>
          <t xml:space="preserve">NEW</t>
        </is>
      </c>
      <c r="P10" s="81" t="inlineStr">
        <is>
          <t xml:space="preserve">P1</t>
        </is>
      </c>
      <c r="Q10" s="81"/>
      <c r="R10" s="81" t="inlineStr">
        <is>
          <t xml:space="preserve">狀態轉換 (State Transition Testing)</t>
        </is>
      </c>
      <c r="S10" s="81" t="inlineStr">
        <is>
          <t xml:space="preserve">NA</t>
        </is>
      </c>
      <c r="T10" s="81"/>
      <c r="U10" s="81"/>
      <c r="V10" s="81"/>
      <c r="W10" s="81"/>
      <c r="X10" s="83"/>
      <c r="Y10" s="81"/>
      <c r="Z10" s="83"/>
      <c r="AA10" s="83" t="inlineStr">
        <is>
          <t xml:space="preserve">PeiPYHsu</t>
        </is>
      </c>
      <c r="AB10" s="81"/>
      <c r="AC10" s="81"/>
      <c r="AD10" s="81"/>
      <c r="AE10" s="81"/>
      <c r="AF10" s="81"/>
      <c r="AG10" s="81"/>
      <c r="AH10" s="83"/>
    </row>
    <row r="11" spans="1:34" s="84" customFormat="1">
      <c r="A11" s="80"/>
      <c r="B11" s="81" t="str">
        <f t="shared" ref="B11:B74" si="0">IF(ISBLANK($D11),"",ROW()-9)</f>
        <v/>
      </c>
      <c r="C11" s="82"/>
      <c r="D11" s="81" t="inlineStr">
        <is>
          <t xml:space="preserve">SWE1-POP-002-02</t>
        </is>
      </c>
      <c r="E11" s="81"/>
      <c r="F11" s="81" t="inlineStr">
        <is>
          <t xml:space="preserve">newR1L-POP-002</t>
        </is>
      </c>
      <c r="G11" s="81" t="inlineStr">
        <is>
          <t xml:space="preserve">Popup</t>
        </is>
      </c>
      <c r="H11" s="81" t="inlineStr">
        <is>
          <t xml:space="preserve">Pop-up Close</t>
        </is>
      </c>
      <c r="I11" s="81" t="inlineStr">
        <is>
          <t xml:space="preserve">Pop-ups can be closed after pressing button that opened pop-up again (eg. Tracks popups)
(Second press of the opening control `&lt;Trks&gt;`, PU0215)</t>
        </is>
      </c>
      <c r="J11" s="81" t="inlineStr">
        <is>
          <t xml:space="preserve">1. The vehicle is stationary with the ignition in RUN
2. A media source containing at least one track list is available
3. The Media screen is displayed</t>
        </is>
      </c>
      <c r="K11" s="81" t="inlineStr">
        <is>
          <t xml:space="preserve">NA</t>
        </is>
      </c>
      <c r="L11" s="81" t="inlineStr">
        <is>
          <t xml:space="preserve">1. On the Media screen, press the Track list button `&lt;Trks&gt;`
2. Press `&lt;Trks&gt;` a second time while the pop-up is displayed
3. Read the pop-up display status immediately after the second press</t>
        </is>
      </c>
      <c r="M11" s="81" t="inlineStr">
        <is>
          <t xml:space="preserve">1. The `Tracks List` pop-up is displayed, as defined by PU0215 String/Popup Message
2. The second press lands on the same `&lt;Trks&gt;` button that opened the pop-up
3. The pop-up is closed and the Media screen is shown without the pop-up</t>
        </is>
      </c>
      <c r="N11" s="81" t="inlineStr">
        <is>
          <t xml:space="preserve">SYS1_HMI_Core_HMI_Logic_and_Flow_R1_SR24_Post_2A_(February_2_2023)_5.5
SYS1_HMI_Core_HMI_Logic_and_Flow_R1_SR24_Post_2A_(February_2_2023)_5.6</t>
        </is>
      </c>
      <c r="O11" s="81" t="inlineStr">
        <is>
          <t xml:space="preserve">NEW</t>
        </is>
      </c>
      <c r="P11" s="81" t="inlineStr">
        <is>
          <t xml:space="preserve">P1</t>
        </is>
      </c>
      <c r="Q11" s="81"/>
      <c r="R11" s="81" t="inlineStr">
        <is>
          <t xml:space="preserve">狀態轉換 (State Transition Testing)</t>
        </is>
      </c>
      <c r="S11" s="81" t="inlineStr">
        <is>
          <t xml:space="preserve">NA</t>
        </is>
      </c>
      <c r="T11" s="81"/>
      <c r="U11" s="81"/>
      <c r="V11" s="81"/>
      <c r="W11" s="81"/>
      <c r="X11" s="83"/>
      <c r="Y11" s="81"/>
      <c r="Z11" s="83"/>
      <c r="AA11" s="83" t="inlineStr">
        <is>
          <t xml:space="preserve">PeiPYHsu</t>
        </is>
      </c>
      <c r="AB11" s="81"/>
      <c r="AC11" s="81"/>
      <c r="AD11" s="81"/>
      <c r="AE11" s="81"/>
      <c r="AF11" s="81"/>
      <c r="AG11" s="81"/>
      <c r="AH11" s="83"/>
    </row>
    <row r="12" spans="1:34" s="86" customFormat="1">
      <c r="A12" s="85"/>
      <c r="B12" s="81" t="str">
        <f t="shared" si="0"/>
        <v/>
      </c>
      <c r="C12" s="82"/>
      <c r="D12" s="81" t="inlineStr">
        <is>
          <t xml:space="preserve">SWE1-POP-002-03</t>
        </is>
      </c>
      <c r="E12" s="81"/>
      <c r="F12" s="81" t="inlineStr">
        <is>
          <t xml:space="preserve">newR1L-POP-003</t>
        </is>
      </c>
      <c r="G12" s="81" t="inlineStr">
        <is>
          <t xml:space="preserve">Popup</t>
        </is>
      </c>
      <c r="H12" s="81" t="inlineStr">
        <is>
          <t xml:space="preserve">Pop-up Close</t>
        </is>
      </c>
      <c r="I12" s="81" t="inlineStr">
        <is>
          <t xml:space="preserve">Pop-ups can be closed when touching screen outside of pop-up
(Touch outside the pop-up bounds, PU0580)</t>
        </is>
      </c>
      <c r="J12" s="81" t="inlineStr">
        <is>
          <t xml:space="preserve">1. The vehicle is stationary with the ignition in RUN
2. At least two driver Profiles exist on the head unit
3. The All Profiles tab is reachable from the current screen</t>
        </is>
      </c>
      <c r="K12" s="81" t="inlineStr">
        <is>
          <t xml:space="preserve">Time-out = 5 s, as defined by PU0580 Timeout (sec)</t>
        </is>
      </c>
      <c r="L12" s="81" t="inlineStr">
        <is>
          <t xml:space="preserve">1. Open the All Profiles tab and switch manually to another Profile
2. Within 5 seconds of the pop-up appearing, tap an area of the screen outside the pop-up window frame
3. Read the pop-up display status immediately after the tap</t>
        </is>
      </c>
      <c r="M12" s="81" t="inlineStr">
        <is>
          <t xml:space="preserve">1. The pop-up is displayed showing `"Welcome [username]", "X"`, as defined by PU0580 String/Popup Message
2. The tap lands outside the pop-up window frame and activates no pop-up control
3. The pop-up is closed, and the closure occurs before the 5-second Time-out defined by PU0580 Timeout (sec) elapses</t>
        </is>
      </c>
      <c r="N12" s="81" t="inlineStr">
        <is>
          <t xml:space="preserve">SYS1_HMI_Core_HMI_Logic_and_Flow_R1_SR24_Post_2A_(February_2_2023)_5.6</t>
        </is>
      </c>
      <c r="O12" s="81" t="inlineStr">
        <is>
          <t xml:space="preserve">NEW</t>
        </is>
      </c>
      <c r="P12" s="81" t="inlineStr">
        <is>
          <t xml:space="preserve">P1</t>
        </is>
      </c>
      <c r="Q12" s="81"/>
      <c r="R12" s="81" t="inlineStr">
        <is>
          <t xml:space="preserve">狀態轉換 (State Transition Testing)</t>
        </is>
      </c>
      <c r="S12" s="81" t="inlineStr">
        <is>
          <t xml:space="preserve">NA</t>
        </is>
      </c>
      <c r="T12" s="81"/>
      <c r="U12" s="81"/>
      <c r="V12" s="81"/>
      <c r="W12" s="81"/>
      <c r="X12" s="83"/>
      <c r="Y12" s="81"/>
      <c r="Z12" s="83"/>
      <c r="AA12" s="83" t="inlineStr">
        <is>
          <t xml:space="preserve">PeiPYHsu</t>
        </is>
      </c>
      <c r="AB12" s="81"/>
      <c r="AC12" s="81"/>
      <c r="AD12" s="81"/>
      <c r="AE12" s="81"/>
      <c r="AF12" s="81"/>
      <c r="AG12" s="81"/>
      <c r="AH12" s="83"/>
    </row>
    <row r="13" spans="1:34">
      <c r="A13" s="87"/>
      <c r="B13" s="81" t="str">
        <f t="shared" si="0"/>
        <v/>
      </c>
      <c r="C13" s="82"/>
      <c r="D13" s="81" t="inlineStr">
        <is>
          <t xml:space="preserve">SWE1-POP-002-04</t>
        </is>
      </c>
      <c r="E13" s="81"/>
      <c r="F13" s="81" t="inlineStr">
        <is>
          <t xml:space="preserve">newR1L-POP-004</t>
        </is>
      </c>
      <c r="G13" s="81" t="inlineStr">
        <is>
          <t xml:space="preserve">Popup</t>
        </is>
      </c>
      <c r="H13" s="81" t="inlineStr">
        <is>
          <t xml:space="preserve">Pop-up Close</t>
        </is>
      </c>
      <c r="I13" s="81" t="inlineStr">
        <is>
          <t xml:space="preserve">Pop-ups can be closed after making a selection inside the pop-up if applicable
(Selection `&lt;OK&gt;` inside the pop-up, PU0949)</t>
        </is>
      </c>
      <c r="J13" s="81" t="inlineStr">
        <is>
          <t xml:space="preserve">1. The vehicle is stationary with the ignition in RUN
2. No mobile phone is paired with the head unit
3. The Home Screen Shortcuts view is displayed</t>
        </is>
      </c>
      <c r="K13" s="81" t="inlineStr">
        <is>
          <t xml:space="preserve">Time-out = 3 s, as defined by PU0949 Timeout (sec)</t>
        </is>
      </c>
      <c r="L13" s="81" t="inlineStr">
        <is>
          <t xml:space="preserve">1. On the Home Screen Shortcuts view, press the grayed out "Make a Call" button
2. Within 3 seconds of the pop-up appearing, press `&lt;OK&gt;` inside the pop-up
3. Read the pop-up display status immediately after the press</t>
        </is>
      </c>
      <c r="M13" s="81" t="inlineStr">
        <is>
          <t xml:space="preserve">1. The pop-up is displayed showing `No Phone is Connected.        &lt;OK&gt;    &lt;X&gt;`, as defined by PU0949 String/Popup Message
2. The `&lt;OK&gt;` press is registered while the pop-up is still displayed
3. The pop-up is closed, and the closure occurs before the 3-second Time-out defined by PU0949 Timeout (sec) elapses</t>
        </is>
      </c>
      <c r="N13" s="81" t="inlineStr">
        <is>
          <t xml:space="preserve">SYS1_HMI_Core_HMI_Logic_and_Flow_R1_SR24_Post_2A_(February_2_2023)_5.6</t>
        </is>
      </c>
      <c r="O13" s="81" t="inlineStr">
        <is>
          <t xml:space="preserve">NEW</t>
        </is>
      </c>
      <c r="P13" s="81" t="inlineStr">
        <is>
          <t xml:space="preserve">P1</t>
        </is>
      </c>
      <c r="Q13" s="81"/>
      <c r="R13" s="81" t="inlineStr">
        <is>
          <t xml:space="preserve">狀態轉換 (State Transition Testing)</t>
        </is>
      </c>
      <c r="S13" s="81" t="inlineStr">
        <is>
          <t xml:space="preserve">NA</t>
        </is>
      </c>
      <c r="T13" s="81"/>
      <c r="U13" s="81"/>
      <c r="V13" s="81"/>
      <c r="W13" s="81"/>
      <c r="X13" s="83"/>
      <c r="Y13" s="81"/>
      <c r="Z13" s="83"/>
      <c r="AA13" s="83" t="inlineStr">
        <is>
          <t xml:space="preserve">PeiPYHsu</t>
        </is>
      </c>
      <c r="AB13" s="81"/>
      <c r="AC13" s="81"/>
      <c r="AD13" s="81"/>
      <c r="AE13" s="81"/>
      <c r="AF13" s="81"/>
      <c r="AG13" s="81"/>
      <c r="AH13" s="83"/>
    </row>
    <row r="14" spans="1:34">
      <c r="A14" s="87"/>
      <c r="B14" s="81" t="str">
        <f t="shared" si="0"/>
        <v/>
      </c>
      <c r="C14" s="82"/>
      <c r="D14" s="81"/>
      <c r="E14" s="81"/>
      <c r="F14" s="81"/>
      <c r="G14" s="81"/>
      <c r="H14" s="81"/>
      <c r="I14" s="81"/>
      <c r="J14" s="81"/>
      <c r="K14" s="81"/>
      <c r="L14" s="81"/>
      <c r="M14" s="81"/>
      <c r="N14" s="81"/>
      <c r="O14" s="81"/>
      <c r="P14" s="81"/>
      <c r="Q14" s="81"/>
      <c r="R14" s="81"/>
      <c r="S14" s="81"/>
      <c r="T14" s="81"/>
      <c r="U14" s="81"/>
      <c r="V14" s="81"/>
      <c r="W14" s="81"/>
      <c r="X14" s="83"/>
      <c r="Y14" s="81"/>
      <c r="Z14" s="83"/>
      <c r="AA14" s="83"/>
      <c r="AB14" s="81"/>
      <c r="AC14" s="81"/>
      <c r="AD14" s="81"/>
      <c r="AE14" s="81"/>
      <c r="AF14" s="81"/>
      <c r="AG14" s="81"/>
      <c r="AH14" s="83"/>
    </row>
    <row r="15" spans="1:34">
      <c r="A15" s="87"/>
      <c r="B15" s="81" t="str">
        <f t="shared" si="0"/>
        <v/>
      </c>
      <c r="C15" s="82"/>
      <c r="D15" s="81"/>
      <c r="E15" s="81"/>
      <c r="F15" s="81"/>
      <c r="G15" s="81"/>
      <c r="H15" s="81"/>
      <c r="I15" s="81"/>
      <c r="J15" s="81"/>
      <c r="K15" s="81"/>
      <c r="L15" s="81"/>
      <c r="M15" s="81"/>
      <c r="N15" s="81"/>
      <c r="O15" s="81"/>
      <c r="P15" s="81"/>
      <c r="Q15" s="81"/>
      <c r="R15" s="81"/>
      <c r="S15" s="81"/>
      <c r="T15" s="81"/>
      <c r="U15" s="81"/>
      <c r="V15" s="81"/>
      <c r="W15" s="81"/>
      <c r="X15" s="83"/>
      <c r="Y15" s="81"/>
      <c r="Z15" s="83"/>
      <c r="AA15" s="83"/>
      <c r="AB15" s="81"/>
      <c r="AC15" s="81"/>
      <c r="AD15" s="81"/>
      <c r="AE15" s="81"/>
      <c r="AF15" s="81"/>
      <c r="AG15" s="81"/>
      <c r="AH15" s="83"/>
    </row>
    <row r="16" spans="1:34">
      <c r="A16" s="87"/>
      <c r="B16" s="81" t="str">
        <f t="shared" si="0"/>
        <v/>
      </c>
      <c r="C16" s="82"/>
      <c r="D16" s="81"/>
      <c r="E16" s="81"/>
      <c r="F16" s="81"/>
      <c r="G16" s="81"/>
      <c r="H16" s="81"/>
      <c r="I16" s="81"/>
      <c r="J16" s="81"/>
      <c r="K16" s="81"/>
      <c r="L16" s="81"/>
      <c r="M16" s="81"/>
      <c r="N16" s="81"/>
      <c r="O16" s="81"/>
      <c r="P16" s="81"/>
      <c r="Q16" s="81"/>
      <c r="R16" s="81"/>
      <c r="S16" s="81"/>
      <c r="T16" s="81"/>
      <c r="U16" s="81"/>
      <c r="V16" s="81"/>
      <c r="W16" s="81"/>
      <c r="X16" s="83"/>
      <c r="Y16" s="81"/>
      <c r="Z16" s="83"/>
      <c r="AA16" s="83"/>
      <c r="AB16" s="81"/>
      <c r="AC16" s="81"/>
      <c r="AD16" s="81"/>
      <c r="AE16" s="81"/>
      <c r="AF16" s="81"/>
      <c r="AG16" s="81"/>
      <c r="AH16" s="83"/>
    </row>
    <row r="17" spans="1:34">
      <c r="A17" s="87"/>
      <c r="B17" s="81" t="str">
        <f t="shared" si="0"/>
        <v/>
      </c>
      <c r="C17" s="82"/>
      <c r="D17" s="81"/>
      <c r="E17" s="81"/>
      <c r="F17" s="81"/>
      <c r="G17" s="81"/>
      <c r="H17" s="81"/>
      <c r="I17" s="81"/>
      <c r="J17" s="81"/>
      <c r="K17" s="81"/>
      <c r="L17" s="81"/>
      <c r="M17" s="81"/>
      <c r="N17" s="81"/>
      <c r="O17" s="81"/>
      <c r="P17" s="81"/>
      <c r="Q17" s="81"/>
      <c r="R17" s="81"/>
      <c r="S17" s="81"/>
      <c r="T17" s="81"/>
      <c r="U17" s="81"/>
      <c r="V17" s="81"/>
      <c r="W17" s="81"/>
      <c r="X17" s="83"/>
      <c r="Y17" s="81"/>
      <c r="Z17" s="83"/>
      <c r="AA17" s="83"/>
      <c r="AB17" s="81"/>
      <c r="AC17" s="81"/>
      <c r="AD17" s="81"/>
      <c r="AE17" s="81"/>
      <c r="AF17" s="81"/>
      <c r="AG17" s="81"/>
      <c r="AH17" s="83"/>
    </row>
    <row r="18" spans="1:34">
      <c r="A18" s="87"/>
      <c r="B18" s="81" t="str">
        <f t="shared" si="0"/>
        <v/>
      </c>
      <c r="C18" s="82"/>
      <c r="D18" s="81"/>
      <c r="E18" s="81"/>
      <c r="F18" s="81"/>
      <c r="G18" s="81"/>
      <c r="H18" s="81"/>
      <c r="I18" s="81"/>
      <c r="J18" s="81"/>
      <c r="K18" s="81"/>
      <c r="L18" s="81"/>
      <c r="M18" s="81"/>
      <c r="N18" s="81"/>
      <c r="O18" s="81"/>
      <c r="P18" s="81"/>
      <c r="Q18" s="81"/>
      <c r="R18" s="81"/>
      <c r="S18" s="81"/>
      <c r="T18" s="81"/>
      <c r="U18" s="81"/>
      <c r="V18" s="81"/>
      <c r="W18" s="81"/>
      <c r="X18" s="83"/>
      <c r="Y18" s="81"/>
      <c r="Z18" s="83"/>
      <c r="AA18" s="83"/>
      <c r="AB18" s="81"/>
      <c r="AC18" s="81"/>
      <c r="AD18" s="81"/>
      <c r="AE18" s="81"/>
      <c r="AF18" s="81"/>
      <c r="AG18" s="81"/>
      <c r="AH18" s="83"/>
    </row>
    <row r="19" spans="1:34">
      <c r="A19" s="87"/>
      <c r="B19" s="81" t="str">
        <f t="shared" si="0"/>
        <v/>
      </c>
      <c r="C19" s="82"/>
      <c r="D19" s="81"/>
      <c r="E19" s="81"/>
      <c r="F19" s="81"/>
      <c r="G19" s="81"/>
      <c r="H19" s="81"/>
      <c r="I19" s="81"/>
      <c r="J19" s="81"/>
      <c r="K19" s="81"/>
      <c r="L19" s="81"/>
      <c r="M19" s="81"/>
      <c r="N19" s="81"/>
      <c r="O19" s="81"/>
      <c r="P19" s="81"/>
      <c r="Q19" s="81"/>
      <c r="R19" s="81"/>
      <c r="S19" s="81"/>
      <c r="T19" s="81"/>
      <c r="U19" s="81"/>
      <c r="V19" s="81"/>
      <c r="W19" s="81"/>
      <c r="X19" s="83"/>
      <c r="Y19" s="81"/>
      <c r="Z19" s="83"/>
      <c r="AA19" s="83"/>
      <c r="AB19" s="81"/>
      <c r="AC19" s="81"/>
      <c r="AD19" s="81"/>
      <c r="AE19" s="81"/>
      <c r="AF19" s="81"/>
      <c r="AG19" s="81"/>
      <c r="AH19" s="83"/>
    </row>
    <row r="20" spans="1:34">
      <c r="A20" s="87"/>
      <c r="B20" s="81" t="str">
        <f t="shared" si="0"/>
        <v/>
      </c>
      <c r="C20" s="82"/>
      <c r="D20" s="81"/>
      <c r="E20" s="81"/>
      <c r="F20" s="81"/>
      <c r="G20" s="81"/>
      <c r="H20" s="81"/>
      <c r="I20" s="81"/>
      <c r="J20" s="81"/>
      <c r="K20" s="81"/>
      <c r="L20" s="81"/>
      <c r="M20" s="81"/>
      <c r="N20" s="81"/>
      <c r="O20" s="81"/>
      <c r="P20" s="81"/>
      <c r="Q20" s="81"/>
      <c r="R20" s="81"/>
      <c r="S20" s="81"/>
      <c r="T20" s="81"/>
      <c r="U20" s="81"/>
      <c r="V20" s="81"/>
      <c r="W20" s="81"/>
      <c r="X20" s="83"/>
      <c r="Y20" s="81"/>
      <c r="Z20" s="83"/>
      <c r="AA20" s="83"/>
      <c r="AB20" s="81"/>
      <c r="AC20" s="81"/>
      <c r="AD20" s="81"/>
      <c r="AE20" s="81"/>
      <c r="AF20" s="81"/>
      <c r="AG20" s="81"/>
      <c r="AH20" s="83"/>
    </row>
    <row r="21" spans="1:34">
      <c r="A21" s="87"/>
      <c r="B21" s="81" t="str">
        <f t="shared" si="0"/>
        <v/>
      </c>
      <c r="C21" s="82"/>
      <c r="D21" s="81"/>
      <c r="E21" s="81"/>
      <c r="F21" s="81"/>
      <c r="G21" s="81"/>
      <c r="H21" s="81"/>
      <c r="I21" s="81"/>
      <c r="J21" s="81"/>
      <c r="K21" s="81"/>
      <c r="L21" s="81"/>
      <c r="M21" s="81"/>
      <c r="N21" s="81"/>
      <c r="O21" s="81"/>
      <c r="P21" s="81"/>
      <c r="Q21" s="81"/>
      <c r="R21" s="81"/>
      <c r="S21" s="81"/>
      <c r="T21" s="81"/>
      <c r="U21" s="81"/>
      <c r="V21" s="81"/>
      <c r="W21" s="81"/>
      <c r="X21" s="83"/>
      <c r="Y21" s="81"/>
      <c r="Z21" s="83"/>
      <c r="AA21" s="83"/>
      <c r="AB21" s="81"/>
      <c r="AC21" s="81"/>
      <c r="AD21" s="81"/>
      <c r="AE21" s="81"/>
      <c r="AF21" s="81"/>
      <c r="AG21" s="81"/>
      <c r="AH21" s="83"/>
    </row>
    <row r="22" spans="1:34">
      <c r="A22" s="87"/>
      <c r="B22" s="81" t="str">
        <f t="shared" si="0"/>
        <v/>
      </c>
      <c r="C22" s="82"/>
      <c r="D22" s="81"/>
      <c r="E22" s="81"/>
      <c r="F22" s="81"/>
      <c r="G22" s="81"/>
      <c r="H22" s="81"/>
      <c r="I22" s="81"/>
      <c r="J22" s="81"/>
      <c r="K22" s="81"/>
      <c r="L22" s="81"/>
      <c r="M22" s="81"/>
      <c r="N22" s="81"/>
      <c r="O22" s="81"/>
      <c r="P22" s="81"/>
      <c r="Q22" s="81"/>
      <c r="R22" s="81"/>
      <c r="S22" s="81"/>
      <c r="T22" s="81"/>
      <c r="U22" s="81"/>
      <c r="V22" s="81"/>
      <c r="W22" s="81"/>
      <c r="X22" s="83"/>
      <c r="Y22" s="81"/>
      <c r="Z22" s="83"/>
      <c r="AA22" s="83"/>
      <c r="AB22" s="81"/>
      <c r="AC22" s="81"/>
      <c r="AD22" s="81"/>
      <c r="AE22" s="81"/>
      <c r="AF22" s="81"/>
      <c r="AG22" s="81"/>
      <c r="AH22" s="83"/>
    </row>
    <row r="23" spans="1:34">
      <c r="A23" s="87"/>
      <c r="B23" s="81" t="str">
        <f t="shared" si="0"/>
        <v/>
      </c>
      <c r="C23" s="82"/>
      <c r="D23" s="81"/>
      <c r="E23" s="81"/>
      <c r="F23" s="81"/>
      <c r="G23" s="81"/>
      <c r="H23" s="81"/>
      <c r="I23" s="81"/>
      <c r="J23" s="81"/>
      <c r="K23" s="81"/>
      <c r="L23" s="81"/>
      <c r="M23" s="81"/>
      <c r="N23" s="81"/>
      <c r="O23" s="81"/>
      <c r="P23" s="81"/>
      <c r="Q23" s="81"/>
      <c r="R23" s="81"/>
      <c r="S23" s="81"/>
      <c r="T23" s="81"/>
      <c r="U23" s="81"/>
      <c r="V23" s="81"/>
      <c r="W23" s="81"/>
      <c r="X23" s="83"/>
      <c r="Y23" s="81"/>
      <c r="Z23" s="83"/>
      <c r="AA23" s="83"/>
      <c r="AB23" s="81"/>
      <c r="AC23" s="81"/>
      <c r="AD23" s="81"/>
      <c r="AE23" s="81"/>
      <c r="AF23" s="81"/>
      <c r="AG23" s="81"/>
      <c r="AH23" s="83"/>
    </row>
    <row r="24" spans="1:34">
      <c r="A24" s="87"/>
      <c r="B24" s="81" t="str">
        <f t="shared" si="0"/>
        <v/>
      </c>
      <c r="C24" s="82"/>
      <c r="D24" s="81"/>
      <c r="E24" s="81"/>
      <c r="F24" s="81"/>
      <c r="G24" s="81"/>
      <c r="H24" s="81"/>
      <c r="I24" s="81"/>
      <c r="J24" s="81"/>
      <c r="K24" s="81"/>
      <c r="L24" s="81"/>
      <c r="M24" s="81"/>
      <c r="N24" s="81"/>
      <c r="O24" s="81"/>
      <c r="P24" s="81"/>
      <c r="Q24" s="81"/>
      <c r="R24" s="81"/>
      <c r="S24" s="81"/>
      <c r="T24" s="81"/>
      <c r="U24" s="81"/>
      <c r="V24" s="81"/>
      <c r="W24" s="81"/>
      <c r="X24" s="83"/>
      <c r="Y24" s="81"/>
      <c r="Z24" s="83"/>
      <c r="AA24" s="83"/>
      <c r="AB24" s="81"/>
      <c r="AC24" s="81"/>
      <c r="AD24" s="81"/>
      <c r="AE24" s="81"/>
      <c r="AF24" s="81"/>
      <c r="AG24" s="81"/>
      <c r="AH24" s="83"/>
    </row>
    <row r="25" spans="1:34">
      <c r="A25" s="87"/>
      <c r="B25" s="81" t="str">
        <f t="shared" si="0"/>
        <v/>
      </c>
      <c r="C25" s="82"/>
      <c r="D25" s="81"/>
      <c r="E25" s="81"/>
      <c r="F25" s="81"/>
      <c r="G25" s="81"/>
      <c r="H25" s="81"/>
      <c r="I25" s="81"/>
      <c r="J25" s="81"/>
      <c r="K25" s="81"/>
      <c r="L25" s="81"/>
      <c r="M25" s="81"/>
      <c r="N25" s="81"/>
      <c r="O25" s="81"/>
      <c r="P25" s="81"/>
      <c r="Q25" s="81"/>
      <c r="R25" s="81"/>
      <c r="S25" s="81"/>
      <c r="T25" s="81"/>
      <c r="U25" s="81"/>
      <c r="V25" s="81"/>
      <c r="W25" s="81"/>
      <c r="X25" s="83"/>
      <c r="Y25" s="81"/>
      <c r="Z25" s="83"/>
      <c r="AA25" s="83"/>
      <c r="AB25" s="81"/>
      <c r="AC25" s="81"/>
      <c r="AD25" s="81"/>
      <c r="AE25" s="81"/>
      <c r="AF25" s="81"/>
      <c r="AG25" s="81"/>
      <c r="AH25" s="83"/>
    </row>
    <row r="26" spans="1:34">
      <c r="A26" s="87"/>
      <c r="B26" s="81" t="str">
        <f t="shared" si="0"/>
        <v/>
      </c>
      <c r="C26" s="82"/>
      <c r="D26" s="81"/>
      <c r="E26" s="81"/>
      <c r="F26" s="81"/>
      <c r="G26" s="81"/>
      <c r="H26" s="81"/>
      <c r="I26" s="81"/>
      <c r="J26" s="81"/>
      <c r="K26" s="81"/>
      <c r="L26" s="81"/>
      <c r="M26" s="81"/>
      <c r="N26" s="81"/>
      <c r="O26" s="81"/>
      <c r="P26" s="81"/>
      <c r="Q26" s="81"/>
      <c r="R26" s="81"/>
      <c r="S26" s="81"/>
      <c r="T26" s="81"/>
      <c r="U26" s="81"/>
      <c r="V26" s="81"/>
      <c r="W26" s="81"/>
      <c r="X26" s="83"/>
      <c r="Y26" s="81"/>
      <c r="Z26" s="83"/>
      <c r="AA26" s="83"/>
      <c r="AB26" s="81"/>
      <c r="AC26" s="81"/>
      <c r="AD26" s="81"/>
      <c r="AE26" s="81"/>
      <c r="AF26" s="81"/>
      <c r="AG26" s="81"/>
      <c r="AH26" s="83"/>
    </row>
    <row r="27" spans="1:34">
      <c r="A27" s="87"/>
      <c r="B27" s="81" t="str">
        <f t="shared" si="0"/>
        <v/>
      </c>
      <c r="C27" s="82"/>
      <c r="D27" s="81"/>
      <c r="E27" s="81"/>
      <c r="F27" s="81"/>
      <c r="G27" s="81"/>
      <c r="H27" s="81"/>
      <c r="I27" s="81"/>
      <c r="J27" s="81"/>
      <c r="K27" s="81"/>
      <c r="L27" s="81"/>
      <c r="M27" s="81"/>
      <c r="N27" s="81"/>
      <c r="O27" s="81"/>
      <c r="P27" s="81"/>
      <c r="Q27" s="81"/>
      <c r="R27" s="81"/>
      <c r="S27" s="81"/>
      <c r="T27" s="81"/>
      <c r="U27" s="81"/>
      <c r="V27" s="81"/>
      <c r="W27" s="81"/>
      <c r="X27" s="83"/>
      <c r="Y27" s="81"/>
      <c r="Z27" s="83"/>
      <c r="AA27" s="83"/>
      <c r="AB27" s="81"/>
      <c r="AC27" s="81"/>
      <c r="AD27" s="81"/>
      <c r="AE27" s="81"/>
      <c r="AF27" s="81"/>
      <c r="AG27" s="81"/>
      <c r="AH27" s="83"/>
    </row>
    <row r="28" spans="1:34">
      <c r="A28" s="87"/>
      <c r="B28" s="81" t="str">
        <f t="shared" si="0"/>
        <v/>
      </c>
      <c r="C28" s="82"/>
      <c r="D28" s="81"/>
      <c r="E28" s="81"/>
      <c r="F28" s="81"/>
      <c r="G28" s="81"/>
      <c r="H28" s="81"/>
      <c r="I28" s="81"/>
      <c r="J28" s="81"/>
      <c r="K28" s="81"/>
      <c r="L28" s="81"/>
      <c r="M28" s="81"/>
      <c r="N28" s="81"/>
      <c r="O28" s="81"/>
      <c r="P28" s="81"/>
      <c r="Q28" s="81"/>
      <c r="R28" s="81"/>
      <c r="S28" s="81"/>
      <c r="T28" s="81"/>
      <c r="U28" s="81"/>
      <c r="V28" s="81"/>
      <c r="W28" s="81"/>
      <c r="X28" s="83"/>
      <c r="Y28" s="81"/>
      <c r="Z28" s="83"/>
      <c r="AA28" s="83"/>
      <c r="AB28" s="81"/>
      <c r="AC28" s="81"/>
      <c r="AD28" s="81"/>
      <c r="AE28" s="81"/>
      <c r="AF28" s="81"/>
      <c r="AG28" s="81"/>
      <c r="AH28" s="83"/>
    </row>
    <row r="29" spans="1:34">
      <c r="A29" s="87"/>
      <c r="B29" s="81" t="str">
        <f t="shared" si="0"/>
        <v/>
      </c>
      <c r="C29" s="82"/>
      <c r="D29" s="81"/>
      <c r="E29" s="81"/>
      <c r="F29" s="81"/>
      <c r="G29" s="81"/>
      <c r="H29" s="81"/>
      <c r="I29" s="81"/>
      <c r="J29" s="81"/>
      <c r="K29" s="81"/>
      <c r="L29" s="81"/>
      <c r="M29" s="81"/>
      <c r="N29" s="81"/>
      <c r="O29" s="81"/>
      <c r="P29" s="81"/>
      <c r="Q29" s="81"/>
      <c r="R29" s="81"/>
      <c r="S29" s="81"/>
      <c r="T29" s="81"/>
      <c r="U29" s="81"/>
      <c r="V29" s="81"/>
      <c r="W29" s="81"/>
      <c r="X29" s="83"/>
      <c r="Y29" s="81"/>
      <c r="Z29" s="83"/>
      <c r="AA29" s="83"/>
      <c r="AB29" s="81"/>
      <c r="AC29" s="81"/>
      <c r="AD29" s="81"/>
      <c r="AE29" s="81"/>
      <c r="AF29" s="81"/>
      <c r="AG29" s="81"/>
      <c r="AH29" s="83"/>
    </row>
    <row r="30" spans="1:34">
      <c r="A30" s="87"/>
      <c r="B30" s="81" t="str">
        <f t="shared" si="0"/>
        <v/>
      </c>
      <c r="C30" s="82"/>
      <c r="D30" s="81"/>
      <c r="E30" s="81"/>
      <c r="F30" s="81"/>
      <c r="G30" s="81"/>
      <c r="H30" s="81"/>
      <c r="I30" s="81"/>
      <c r="J30" s="81"/>
      <c r="K30" s="81"/>
      <c r="L30" s="81"/>
      <c r="M30" s="81"/>
      <c r="N30" s="81"/>
      <c r="O30" s="81"/>
      <c r="P30" s="81"/>
      <c r="Q30" s="81"/>
      <c r="R30" s="81"/>
      <c r="S30" s="81"/>
      <c r="T30" s="81"/>
      <c r="U30" s="81"/>
      <c r="V30" s="81"/>
      <c r="W30" s="81"/>
      <c r="X30" s="83"/>
      <c r="Y30" s="81"/>
      <c r="Z30" s="83"/>
      <c r="AA30" s="83"/>
      <c r="AB30" s="81"/>
      <c r="AC30" s="81"/>
      <c r="AD30" s="81"/>
      <c r="AE30" s="81"/>
      <c r="AF30" s="81"/>
      <c r="AG30" s="81"/>
      <c r="AH30" s="83"/>
    </row>
    <row r="31" spans="1:34">
      <c r="A31" s="87"/>
      <c r="B31" s="81" t="str">
        <f t="shared" si="0"/>
        <v/>
      </c>
      <c r="C31" s="82"/>
      <c r="D31" s="81"/>
      <c r="E31" s="81"/>
      <c r="F31" s="81"/>
      <c r="G31" s="81"/>
      <c r="H31" s="81"/>
      <c r="I31" s="81"/>
      <c r="J31" s="81"/>
      <c r="K31" s="81"/>
      <c r="L31" s="81"/>
      <c r="M31" s="81"/>
      <c r="N31" s="81"/>
      <c r="O31" s="81"/>
      <c r="P31" s="81"/>
      <c r="Q31" s="81"/>
      <c r="R31" s="81"/>
      <c r="S31" s="81"/>
      <c r="T31" s="81"/>
      <c r="U31" s="81"/>
      <c r="V31" s="81"/>
      <c r="W31" s="81"/>
      <c r="X31" s="83"/>
      <c r="Y31" s="81"/>
      <c r="Z31" s="83"/>
      <c r="AA31" s="83"/>
      <c r="AB31" s="81"/>
      <c r="AC31" s="81"/>
      <c r="AD31" s="81"/>
      <c r="AE31" s="81"/>
      <c r="AF31" s="81"/>
      <c r="AG31" s="81"/>
      <c r="AH31" s="83"/>
    </row>
    <row r="32" spans="1:34">
      <c r="A32" s="87"/>
      <c r="B32" s="81" t="str">
        <f t="shared" si="0"/>
        <v/>
      </c>
      <c r="C32" s="82"/>
      <c r="D32" s="81"/>
      <c r="E32" s="81"/>
      <c r="F32" s="81"/>
      <c r="G32" s="81"/>
      <c r="H32" s="81"/>
      <c r="I32" s="81"/>
      <c r="J32" s="81"/>
      <c r="K32" s="81"/>
      <c r="L32" s="81"/>
      <c r="M32" s="81"/>
      <c r="N32" s="81"/>
      <c r="O32" s="81"/>
      <c r="P32" s="81"/>
      <c r="Q32" s="81"/>
      <c r="R32" s="81"/>
      <c r="S32" s="81"/>
      <c r="T32" s="81"/>
      <c r="U32" s="81"/>
      <c r="V32" s="81"/>
      <c r="W32" s="81"/>
      <c r="X32" s="83"/>
      <c r="Y32" s="81"/>
      <c r="Z32" s="83"/>
      <c r="AA32" s="83"/>
      <c r="AB32" s="81"/>
      <c r="AC32" s="81"/>
      <c r="AD32" s="81"/>
      <c r="AE32" s="81"/>
      <c r="AF32" s="81"/>
      <c r="AG32" s="81"/>
      <c r="AH32" s="83"/>
    </row>
    <row r="33" spans="1:34">
      <c r="A33" s="87"/>
      <c r="B33" s="81" t="str">
        <f t="shared" si="0"/>
        <v/>
      </c>
      <c r="C33" s="82"/>
      <c r="D33" s="81"/>
      <c r="E33" s="81"/>
      <c r="F33" s="81"/>
      <c r="G33" s="81"/>
      <c r="H33" s="81"/>
      <c r="I33" s="81"/>
      <c r="J33" s="81"/>
      <c r="K33" s="81"/>
      <c r="L33" s="81"/>
      <c r="M33" s="81"/>
      <c r="N33" s="81"/>
      <c r="O33" s="81"/>
      <c r="P33" s="81"/>
      <c r="Q33" s="81"/>
      <c r="R33" s="81"/>
      <c r="S33" s="81"/>
      <c r="T33" s="81"/>
      <c r="U33" s="81"/>
      <c r="V33" s="81"/>
      <c r="W33" s="81"/>
      <c r="X33" s="83"/>
      <c r="Y33" s="81"/>
      <c r="Z33" s="83"/>
      <c r="AA33" s="83"/>
      <c r="AB33" s="81"/>
      <c r="AC33" s="81"/>
      <c r="AD33" s="81"/>
      <c r="AE33" s="81"/>
      <c r="AF33" s="81"/>
      <c r="AG33" s="81"/>
      <c r="AH33" s="83"/>
    </row>
    <row r="34" spans="1:34">
      <c r="A34" s="87"/>
      <c r="B34" s="81" t="str">
        <f t="shared" si="0"/>
        <v/>
      </c>
      <c r="C34" s="82"/>
      <c r="D34" s="81"/>
      <c r="E34" s="81"/>
      <c r="F34" s="81"/>
      <c r="G34" s="81"/>
      <c r="H34" s="81"/>
      <c r="I34" s="81"/>
      <c r="J34" s="81"/>
      <c r="K34" s="81"/>
      <c r="L34" s="81"/>
      <c r="M34" s="81"/>
      <c r="N34" s="81"/>
      <c r="O34" s="81"/>
      <c r="P34" s="81"/>
      <c r="Q34" s="81"/>
      <c r="R34" s="81"/>
      <c r="S34" s="81"/>
      <c r="T34" s="81"/>
      <c r="U34" s="81"/>
      <c r="V34" s="81"/>
      <c r="W34" s="81"/>
      <c r="X34" s="83"/>
      <c r="Y34" s="81"/>
      <c r="Z34" s="83"/>
      <c r="AA34" s="83"/>
      <c r="AB34" s="81"/>
      <c r="AC34" s="81"/>
      <c r="AD34" s="81"/>
      <c r="AE34" s="81"/>
      <c r="AF34" s="81"/>
      <c r="AG34" s="81"/>
      <c r="AH34" s="83"/>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